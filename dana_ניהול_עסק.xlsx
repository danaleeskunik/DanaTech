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תלמידות" sheetId="1" state="visible" r:id="rId3"/>
    <sheet name="תשלומים" sheetId="2" state="visible" r:id="rId4"/>
    <sheet name="לוז שבועי" sheetId="3" state="visible" r:id="rId5"/>
    <sheet name="הכנסות חודשי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<sst xmlns="http://schemas.openxmlformats.org/spreadsheetml/2006/main" count="118" uniqueCount="88">
  <si>
    <t xml:space="preserve">טק בגובה העיניים – דנה קוניק  |  רשימת תלמידות</t>
  </si>
  <si>
    <t xml:space="preserve">#</t>
  </si>
  <si>
    <t xml:space="preserve">שם מלא</t>
  </si>
  <si>
    <t xml:space="preserve">טלפון</t>
  </si>
  <si>
    <t xml:space="preserve">עיר</t>
  </si>
  <si>
    <t xml:space="preserve">רמה</t>
  </si>
  <si>
    <t xml:space="preserve">ימים ושעות</t>
  </si>
  <si>
    <t xml:space="preserve">מחיר לשיעור (₪)</t>
  </si>
  <si>
    <t xml:space="preserve">תאריך התחלה</t>
  </si>
  <si>
    <t xml:space="preserve">סטטוס</t>
  </si>
  <si>
    <t xml:space="preserve">מספר שיעורים</t>
  </si>
  <si>
    <t xml:space="preserve">הערות</t>
  </si>
  <si>
    <t xml:space="preserve">מרים כהן</t>
  </si>
  <si>
    <t xml:space="preserve">052-111-2233</t>
  </si>
  <si>
    <t xml:space="preserve">רמת השרון</t>
  </si>
  <si>
    <t xml:space="preserve">רמה 1 – סמארטפון</t>
  </si>
  <si>
    <t xml:space="preserve">ראשון 10:00</t>
  </si>
  <si>
    <t xml:space="preserve">01/09/2025</t>
  </si>
  <si>
    <t xml:space="preserve">פעיל</t>
  </si>
  <si>
    <t xml:space="preserve">רות לוי</t>
  </si>
  <si>
    <t xml:space="preserve">054-222-3344</t>
  </si>
  <si>
    <t xml:space="preserve">הרצליה</t>
  </si>
  <si>
    <t xml:space="preserve">רמה 2 – מחשב</t>
  </si>
  <si>
    <t xml:space="preserve">שלישי 11:00</t>
  </si>
  <si>
    <t xml:space="preserve">15/09/2025</t>
  </si>
  <si>
    <t xml:space="preserve">מעדיפה שיעורים קצרים</t>
  </si>
  <si>
    <t xml:space="preserve">שושנה ברק</t>
  </si>
  <si>
    <t xml:space="preserve">050-333-4455</t>
  </si>
  <si>
    <t xml:space="preserve">חמישי 09:00</t>
  </si>
  <si>
    <t xml:space="preserve">01/10/2025</t>
  </si>
  <si>
    <t xml:space="preserve">חנה גולן</t>
  </si>
  <si>
    <t xml:space="preserve">058-444-5566</t>
  </si>
  <si>
    <t xml:space="preserve">כפר סבא</t>
  </si>
  <si>
    <t xml:space="preserve">רמה 3 – AI</t>
  </si>
  <si>
    <t xml:space="preserve">שני 14:00</t>
  </si>
  <si>
    <t xml:space="preserve">הפסקה</t>
  </si>
  <si>
    <t xml:space="preserve">חזרה בינואר</t>
  </si>
  <si>
    <t xml:space="preserve">טק בגובה העיניים – דנה קוניק  |  מעקב תשלומים</t>
  </si>
  <si>
    <t xml:space="preserve">תאריך</t>
  </si>
  <si>
    <t xml:space="preserve">שם תלמידה</t>
  </si>
  <si>
    <t xml:space="preserve">שיעורים החודש</t>
  </si>
  <si>
    <t xml:space="preserve">סכום לתשלום (₪)</t>
  </si>
  <si>
    <t xml:space="preserve">שולם (₪)</t>
  </si>
  <si>
    <t xml:space="preserve">יתרה (₪)</t>
  </si>
  <si>
    <t xml:space="preserve">אמצעי תשלום</t>
  </si>
  <si>
    <t xml:space="preserve">01/06/2025</t>
  </si>
  <si>
    <t xml:space="preserve">ביט</t>
  </si>
  <si>
    <t xml:space="preserve">העברה</t>
  </si>
  <si>
    <t xml:space="preserve">מזומן</t>
  </si>
  <si>
    <t xml:space="preserve">–</t>
  </si>
  <si>
    <t xml:space="preserve">בהפסקה</t>
  </si>
  <si>
    <t xml:space="preserve">01/07/2025</t>
  </si>
  <si>
    <t xml:space="preserve">טק בגובה העיניים – דנה קוניק  |  לוז שבועי</t>
  </si>
  <si>
    <t xml:space="preserve">שעה</t>
  </si>
  <si>
    <t xml:space="preserve">ראשון</t>
  </si>
  <si>
    <t xml:space="preserve">שני</t>
  </si>
  <si>
    <t xml:space="preserve">שלישי</t>
  </si>
  <si>
    <t xml:space="preserve">רביעי</t>
  </si>
  <si>
    <t xml:space="preserve">חמישי</t>
  </si>
  <si>
    <t xml:space="preserve">שישי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</si>
  <si>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</si>
  <si>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</si>
  <si>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</si>
  <si>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</si>
  <si>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</si>
  <si>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</si>
  <si>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</si>
  <si>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</si>
  <si>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</si>
  <si>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</si>
  <si>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</si>
  <si>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</si>
  <si>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טק בגובה העיניים – דנה קוניק  |  הכנסות חודשיות</t>
  </si>
  <si>
    <t xml:space="preserve">תלמידה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</si>
  <si>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</si>
  <si>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</si>
  <si>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</si>
  <si>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</si>
  <si>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</si>
  <si>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</si>
  <si>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</si>
  <si>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</si>
  <si>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</si>
  <si>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</si>
  <si>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</si>
  <si>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</si>
  <si>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סה"כ שנתי</t>
  </si>
  <si>
    <t xml:space="preserve">סה"כ חודשי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</si>
</sst>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₪&quot;"/>
    <numFmt numFmtId="166" formatCode="#,##0&quot; ₪&quot;;\(#,##0&quot; ₪)&quot;;\-"/>
    <numFmt numFmtId="167" formatCode="#,##0&quot; ₪&quot;;\-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A305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6FAD"/>
      <name val="Arial"/>
      <family val="0"/>
      <charset val="1"/>
    </font>
    <font>
      <b val="true"/>
      <sz val="10"/>
      <color rgb="FF5B6A7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A7A4A"/>
      <name val="Arial"/>
      <family val="0"/>
      <charset val="1"/>
    </font>
    <font>
      <sz val="10"/>
      <color rgb="FFAAAAA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054"/>
        <bgColor rgb="FF333333"/>
      </patternFill>
    </fill>
    <fill>
      <patternFill patternType="solid">
        <fgColor rgb="FFE8F0FB"/>
        <bgColor rgb="FFE8F5EE"/>
      </patternFill>
    </fill>
    <fill>
      <patternFill patternType="solid">
        <fgColor rgb="FFFFFFFF"/>
        <bgColor rgb="FFF4F7FB"/>
      </patternFill>
    </fill>
    <fill>
      <patternFill patternType="solid">
        <fgColor rgb="FFE8F5EE"/>
        <bgColor rgb="FFE8F0FB"/>
      </patternFill>
    </fill>
    <fill>
      <patternFill patternType="solid">
        <fgColor rgb="FFF4F7FB"/>
        <bgColor rgb="FFE8F5EE"/>
      </patternFill>
    </fill>
    <fill>
      <patternFill patternType="solid">
        <fgColor rgb="FFFEF3E2"/>
        <bgColor rgb="FFF4F7FB"/>
      </patternFill>
    </fill>
    <fill>
      <patternFill patternType="solid">
        <fgColor rgb="FF2C6FAD"/>
        <bgColor rgb="FF3366FF"/>
      </patternFill>
    </fill>
    <fill>
      <patternFill patternType="solid">
        <fgColor rgb="FFE8EAF0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808080"/>
      <rgbColor rgb="FF9999FF"/>
      <rgbColor rgb="FF993366"/>
      <rgbColor rgb="FFFEF3E2"/>
      <rgbColor rgb="FFE8F5EE"/>
      <rgbColor rgb="FF660066"/>
      <rgbColor rgb="FFFF8080"/>
      <rgbColor rgb="FF2C6FAD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E8EAF0"/>
      <rgbColor rgb="FFF4F7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A7E"/>
      <rgbColor rgb="FFAAAAAA"/>
      <rgbColor rgb="FF1A3054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054"/>
    <pageSetUpPr fitToPage="false"/>
  </sheetPr>
  <dimension ref="A1:K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n">
        <v>180</v>
      </c>
      <c r="H3" s="3" t="s">
        <v>17</v>
      </c>
      <c r="I3" s="5" t="s">
        <v>18</v>
      </c>
      <c r="J3" s="3" t="n">
        <v>8</v>
      </c>
      <c r="K3" s="3"/>
    </row>
    <row r="4" customFormat="false" ht="15" hidden="false" customHeight="false" outlineLevel="0" collapsed="false">
      <c r="A4" s="6" t="n">
        <v>2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7" t="n">
        <v>180</v>
      </c>
      <c r="H4" s="6" t="s">
        <v>24</v>
      </c>
      <c r="I4" s="5" t="s">
        <v>18</v>
      </c>
      <c r="J4" s="6" t="n">
        <v>6</v>
      </c>
      <c r="K4" s="6" t="s">
        <v>25</v>
      </c>
    </row>
    <row r="5" customFormat="false" ht="15" hidden="false" customHeight="false" outlineLevel="0" collapsed="false">
      <c r="A5" s="3" t="n">
        <v>3</v>
      </c>
      <c r="B5" s="3" t="s">
        <v>26</v>
      </c>
      <c r="C5" s="3" t="s">
        <v>27</v>
      </c>
      <c r="D5" s="3" t="s">
        <v>14</v>
      </c>
      <c r="E5" s="3" t="s">
        <v>15</v>
      </c>
      <c r="F5" s="3" t="s">
        <v>28</v>
      </c>
      <c r="G5" s="4" t="n">
        <v>180</v>
      </c>
      <c r="H5" s="3" t="s">
        <v>29</v>
      </c>
      <c r="I5" s="5" t="s">
        <v>18</v>
      </c>
      <c r="J5" s="3" t="n">
        <v>4</v>
      </c>
      <c r="K5" s="3"/>
    </row>
    <row r="6" customFormat="false" ht="15" hidden="false" customHeight="false" outlineLevel="0" collapsed="false">
      <c r="A6" s="6" t="n">
        <v>4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7" t="n">
        <v>180</v>
      </c>
      <c r="H6" s="6" t="s">
        <v>29</v>
      </c>
      <c r="I6" s="8" t="s">
        <v>35</v>
      </c>
      <c r="J6" s="6" t="n">
        <v>3</v>
      </c>
      <c r="K6" s="6" t="s">
        <v>36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9"/>
      <c r="H7" s="3"/>
      <c r="I7" s="3"/>
      <c r="J7" s="3"/>
      <c r="K7" s="3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10"/>
      <c r="H8" s="6"/>
      <c r="I8" s="6"/>
      <c r="J8" s="6"/>
      <c r="K8" s="6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9"/>
      <c r="H9" s="3"/>
      <c r="I9" s="3"/>
      <c r="J9" s="3"/>
      <c r="K9" s="3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10"/>
      <c r="H10" s="6"/>
      <c r="I10" s="6"/>
      <c r="J10" s="6"/>
      <c r="K10" s="6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9"/>
      <c r="H11" s="3"/>
      <c r="I11" s="3"/>
      <c r="J11" s="3"/>
      <c r="K11" s="3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10"/>
      <c r="H12" s="6"/>
      <c r="I12" s="6"/>
      <c r="J12" s="6"/>
      <c r="K12" s="6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9"/>
      <c r="H13" s="3"/>
      <c r="I13" s="3"/>
      <c r="J13" s="3"/>
      <c r="K13" s="3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10"/>
      <c r="H14" s="6"/>
      <c r="I14" s="6"/>
      <c r="J14" s="6"/>
      <c r="K14" s="6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9"/>
      <c r="H15" s="3"/>
      <c r="I15" s="3"/>
      <c r="J15" s="3"/>
      <c r="K15" s="3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10"/>
      <c r="H16" s="6"/>
      <c r="I16" s="6"/>
      <c r="J16" s="6"/>
      <c r="K16" s="6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9"/>
      <c r="H17" s="3"/>
      <c r="I17" s="3"/>
      <c r="J17" s="3"/>
      <c r="K17" s="3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10"/>
      <c r="H18" s="6"/>
      <c r="I18" s="6"/>
      <c r="J18" s="6"/>
      <c r="K18" s="6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9"/>
      <c r="H19" s="3"/>
      <c r="I19" s="3"/>
      <c r="J19" s="3"/>
      <c r="K19" s="3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10"/>
      <c r="H20" s="6"/>
      <c r="I20" s="6"/>
      <c r="J20" s="6"/>
      <c r="K20" s="6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9"/>
      <c r="H21" s="3"/>
      <c r="I21" s="3"/>
      <c r="J21" s="3"/>
      <c r="K21" s="3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10"/>
      <c r="H22" s="6"/>
      <c r="I22" s="6"/>
      <c r="J22" s="6"/>
      <c r="K22" s="6"/>
    </row>
  </sheetData>
  <mergeCells count="1">
    <mergeCell ref="A1:K1"/>
  </mergeCells>
  <dataValidations count="2">
    <dataValidation allowBlank="false" errorStyle="stop" operator="between" showDropDown="false" showErrorMessage="false" showInputMessage="false" sqref="I3:I22" type="list">
      <formula1>"פעיל,הפסקה,סיים"</formula1>
      <formula2>0</formula2>
    </dataValidation>
    <dataValidation allowBlank="false" errorStyle="stop" operator="between" showDropDown="false" showErrorMessage="false" showInputMessage="false" sqref="E3:E22" type="list">
      <formula1>"רמה 1 – סמארטפון,רמה 2 – מחשב,רמה 3 – AI,מותאם אישית"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6FAD"/>
    <pageSetUpPr fitToPage="false"/>
  </sheetPr>
  <dimension ref="A1:I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36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38</v>
      </c>
      <c r="B2" s="2" t="s">
        <v>39</v>
      </c>
      <c r="C2" s="2" t="s">
        <v>40</v>
      </c>
      <c r="D2" s="2" t="s">
        <v>7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11</v>
      </c>
    </row>
    <row r="3" customFormat="false" ht="15" hidden="false" customHeight="false" outlineLevel="0" collapsed="false">
      <c r="A3" s="3" t="s">
        <v>45</v>
      </c>
      <c r="B3" s="3" t="s">
        <v>12</v>
      </c>
      <c r="C3" s="3" t="n">
        <v>4</v>
      </c>
      <c r="D3" s="9" t="n">
        <v>180</v>
      </c>
      <c r="E3" s="9" t="n">
        <f aca="false">C3*D3</f>
        <v>720</v>
      </c>
      <c r="F3" s="9" t="n">
        <v>720</v>
      </c>
      <c r="G3" s="11" t="n">
        <f aca="false">E3-F3</f>
        <v>0</v>
      </c>
      <c r="H3" s="3" t="s">
        <v>46</v>
      </c>
      <c r="I3" s="3"/>
    </row>
    <row r="4" customFormat="false" ht="15" hidden="false" customHeight="false" outlineLevel="0" collapsed="false">
      <c r="A4" s="6" t="s">
        <v>45</v>
      </c>
      <c r="B4" s="6" t="s">
        <v>19</v>
      </c>
      <c r="C4" s="6" t="n">
        <v>3</v>
      </c>
      <c r="D4" s="10" t="n">
        <v>180</v>
      </c>
      <c r="E4" s="10" t="n">
        <f aca="false">C4*D4</f>
        <v>540</v>
      </c>
      <c r="F4" s="10" t="n">
        <v>540</v>
      </c>
      <c r="G4" s="12" t="n">
        <f aca="false">E4-F4</f>
        <v>0</v>
      </c>
      <c r="H4" s="6" t="s">
        <v>47</v>
      </c>
      <c r="I4" s="6"/>
    </row>
    <row r="5" customFormat="false" ht="15" hidden="false" customHeight="false" outlineLevel="0" collapsed="false">
      <c r="A5" s="3" t="s">
        <v>45</v>
      </c>
      <c r="B5" s="3" t="s">
        <v>26</v>
      </c>
      <c r="C5" s="3" t="n">
        <v>2</v>
      </c>
      <c r="D5" s="9" t="n">
        <v>180</v>
      </c>
      <c r="E5" s="9" t="n">
        <f aca="false">C5*D5</f>
        <v>360</v>
      </c>
      <c r="F5" s="9" t="n">
        <v>360</v>
      </c>
      <c r="G5" s="11" t="n">
        <f aca="false">E5-F5</f>
        <v>0</v>
      </c>
      <c r="H5" s="3" t="s">
        <v>48</v>
      </c>
      <c r="I5" s="3"/>
    </row>
    <row r="6" customFormat="false" ht="15" hidden="false" customHeight="false" outlineLevel="0" collapsed="false">
      <c r="A6" s="6" t="s">
        <v>45</v>
      </c>
      <c r="B6" s="6" t="s">
        <v>30</v>
      </c>
      <c r="C6" s="6" t="n">
        <v>1</v>
      </c>
      <c r="D6" s="10" t="n">
        <v>180</v>
      </c>
      <c r="E6" s="10" t="n">
        <f aca="false">C6*D6</f>
        <v>180</v>
      </c>
      <c r="F6" s="10" t="n">
        <v>0</v>
      </c>
      <c r="G6" s="12" t="n">
        <f aca="false">E6-F6</f>
        <v>180</v>
      </c>
      <c r="H6" s="6" t="s">
        <v>49</v>
      </c>
      <c r="I6" s="6" t="s">
        <v>50</v>
      </c>
    </row>
    <row r="7" customFormat="false" ht="15" hidden="false" customHeight="false" outlineLevel="0" collapsed="false">
      <c r="A7" s="3" t="s">
        <v>51</v>
      </c>
      <c r="B7" s="3" t="s">
        <v>12</v>
      </c>
      <c r="C7" s="3" t="n">
        <v>4</v>
      </c>
      <c r="D7" s="9" t="n">
        <v>180</v>
      </c>
      <c r="E7" s="9" t="n">
        <f aca="false">C7*D7</f>
        <v>720</v>
      </c>
      <c r="F7" s="9" t="n">
        <v>720</v>
      </c>
      <c r="G7" s="11" t="n">
        <f aca="false">E7-F7</f>
        <v>0</v>
      </c>
      <c r="H7" s="3" t="s">
        <v>46</v>
      </c>
      <c r="I7" s="3"/>
    </row>
    <row r="8" customFormat="false" ht="15" hidden="false" customHeight="false" outlineLevel="0" collapsed="false">
      <c r="A8" s="6" t="s">
        <v>51</v>
      </c>
      <c r="B8" s="6" t="s">
        <v>19</v>
      </c>
      <c r="C8" s="6" t="n">
        <v>4</v>
      </c>
      <c r="D8" s="10" t="n">
        <v>180</v>
      </c>
      <c r="E8" s="10" t="n">
        <f aca="false">C8*D8</f>
        <v>720</v>
      </c>
      <c r="F8" s="10" t="n">
        <v>720</v>
      </c>
      <c r="G8" s="12" t="n">
        <f aca="false">E8-F8</f>
        <v>0</v>
      </c>
      <c r="H8" s="6" t="s">
        <v>47</v>
      </c>
      <c r="I8" s="6"/>
    </row>
    <row r="9" customFormat="false" ht="15" hidden="false" customHeight="false" outlineLevel="0" collapsed="false">
      <c r="A9" s="3" t="s">
        <v>51</v>
      </c>
      <c r="B9" s="3" t="s">
        <v>26</v>
      </c>
      <c r="C9" s="3" t="n">
        <v>3</v>
      </c>
      <c r="D9" s="9" t="n">
        <v>180</v>
      </c>
      <c r="E9" s="9" t="n">
        <f aca="false">C9*D9</f>
        <v>540</v>
      </c>
      <c r="F9" s="9" t="n">
        <v>540</v>
      </c>
      <c r="G9" s="11" t="n">
        <f aca="false">E9-F9</f>
        <v>0</v>
      </c>
      <c r="H9" s="3" t="s">
        <v>48</v>
      </c>
      <c r="I9" s="3"/>
    </row>
    <row r="10" customFormat="false" ht="15" hidden="false" customHeight="false" outlineLevel="0" collapsed="false">
      <c r="A10" s="6"/>
      <c r="B10" s="6"/>
      <c r="C10" s="6"/>
      <c r="D10" s="6"/>
      <c r="E10" s="10" t="str">
        <f aca="false">IF(C10="","",C10*D10)</f>
        <v/>
      </c>
      <c r="F10" s="6"/>
      <c r="G10" s="12" t="str">
        <f aca="false">IF(E10="","",E10-F10)</f>
        <v/>
      </c>
      <c r="H10" s="6"/>
      <c r="I10" s="6"/>
    </row>
    <row r="11" customFormat="false" ht="15" hidden="false" customHeight="false" outlineLevel="0" collapsed="false">
      <c r="A11" s="3"/>
      <c r="B11" s="3"/>
      <c r="C11" s="3"/>
      <c r="D11" s="3"/>
      <c r="E11" s="9" t="str">
        <f aca="false">IF(C11="","",C11*D11)</f>
        <v/>
      </c>
      <c r="F11" s="3"/>
      <c r="G11" s="11" t="str">
        <f aca="false">IF(E11="","",E11-F11)</f>
        <v/>
      </c>
      <c r="H11" s="3"/>
      <c r="I11" s="3"/>
    </row>
    <row r="12" customFormat="false" ht="15" hidden="false" customHeight="false" outlineLevel="0" collapsed="false">
      <c r="A12" s="6"/>
      <c r="B12" s="6"/>
      <c r="C12" s="6"/>
      <c r="D12" s="6"/>
      <c r="E12" s="10" t="str">
        <f aca="false">IF(C12="","",C12*D12)</f>
        <v/>
      </c>
      <c r="F12" s="6"/>
      <c r="G12" s="12" t="str">
        <f aca="false">IF(E12="","",E12-F12)</f>
        <v/>
      </c>
      <c r="H12" s="6"/>
      <c r="I12" s="6"/>
    </row>
    <row r="13" customFormat="false" ht="15" hidden="false" customHeight="false" outlineLevel="0" collapsed="false">
      <c r="A13" s="3"/>
      <c r="B13" s="3"/>
      <c r="C13" s="3"/>
      <c r="D13" s="3"/>
      <c r="E13" s="9" t="str">
        <f aca="false">IF(C13="","",C13*D13)</f>
        <v/>
      </c>
      <c r="F13" s="3"/>
      <c r="G13" s="11" t="str">
        <f aca="false">IF(E13="","",E13-F13)</f>
        <v/>
      </c>
      <c r="H13" s="3"/>
      <c r="I13" s="3"/>
    </row>
    <row r="14" customFormat="false" ht="15" hidden="false" customHeight="false" outlineLevel="0" collapsed="false">
      <c r="A14" s="6"/>
      <c r="B14" s="6"/>
      <c r="C14" s="6"/>
      <c r="D14" s="6"/>
      <c r="E14" s="10" t="str">
        <f aca="false">IF(C14="","",C14*D14)</f>
        <v/>
      </c>
      <c r="F14" s="6"/>
      <c r="G14" s="12" t="str">
        <f aca="false">IF(E14="","",E14-F14)</f>
        <v/>
      </c>
      <c r="H14" s="6"/>
      <c r="I14" s="6"/>
    </row>
    <row r="15" customFormat="false" ht="15" hidden="false" customHeight="false" outlineLevel="0" collapsed="false">
      <c r="A15" s="3"/>
      <c r="B15" s="3"/>
      <c r="C15" s="3"/>
      <c r="D15" s="3"/>
      <c r="E15" s="9" t="str">
        <f aca="false">IF(C15="","",C15*D15)</f>
        <v/>
      </c>
      <c r="F15" s="3"/>
      <c r="G15" s="11" t="str">
        <f aca="false">IF(E15="","",E15-F15)</f>
        <v/>
      </c>
      <c r="H15" s="3"/>
      <c r="I15" s="3"/>
    </row>
    <row r="16" customFormat="false" ht="15" hidden="false" customHeight="false" outlineLevel="0" collapsed="false">
      <c r="A16" s="6"/>
      <c r="B16" s="6"/>
      <c r="C16" s="6"/>
      <c r="D16" s="6"/>
      <c r="E16" s="10" t="str">
        <f aca="false">IF(C16="","",C16*D16)</f>
        <v/>
      </c>
      <c r="F16" s="6"/>
      <c r="G16" s="12" t="str">
        <f aca="false">IF(E16="","",E16-F16)</f>
        <v/>
      </c>
      <c r="H16" s="6"/>
      <c r="I16" s="6"/>
    </row>
    <row r="17" customFormat="false" ht="15" hidden="false" customHeight="false" outlineLevel="0" collapsed="false">
      <c r="A17" s="3"/>
      <c r="B17" s="3"/>
      <c r="C17" s="3"/>
      <c r="D17" s="3"/>
      <c r="E17" s="9" t="str">
        <f aca="false">IF(C17="","",C17*D17)</f>
        <v/>
      </c>
      <c r="F17" s="3"/>
      <c r="G17" s="11" t="str">
        <f aca="false">IF(E17="","",E17-F17)</f>
        <v/>
      </c>
      <c r="H17" s="3"/>
      <c r="I17" s="3"/>
    </row>
    <row r="18" customFormat="false" ht="15" hidden="false" customHeight="false" outlineLevel="0" collapsed="false">
      <c r="A18" s="6"/>
      <c r="B18" s="6"/>
      <c r="C18" s="6"/>
      <c r="D18" s="6"/>
      <c r="E18" s="10" t="str">
        <f aca="false">IF(C18="","",C18*D18)</f>
        <v/>
      </c>
      <c r="F18" s="6"/>
      <c r="G18" s="12" t="str">
        <f aca="false">IF(E18="","",E18-F18)</f>
        <v/>
      </c>
      <c r="H18" s="6"/>
      <c r="I18" s="6"/>
    </row>
    <row r="19" customFormat="false" ht="15" hidden="false" customHeight="false" outlineLevel="0" collapsed="false">
      <c r="A19" s="3"/>
      <c r="B19" s="3"/>
      <c r="C19" s="3"/>
      <c r="D19" s="3"/>
      <c r="E19" s="9" t="str">
        <f aca="false">IF(C19="","",C19*D19)</f>
        <v/>
      </c>
      <c r="F19" s="3"/>
      <c r="G19" s="11" t="str">
        <f aca="false">IF(E19="","",E19-F19)</f>
        <v/>
      </c>
      <c r="H19" s="3"/>
      <c r="I19" s="3"/>
    </row>
    <row r="20" customFormat="false" ht="15" hidden="false" customHeight="false" outlineLevel="0" collapsed="false">
      <c r="A20" s="6"/>
      <c r="B20" s="6"/>
      <c r="C20" s="6"/>
      <c r="D20" s="6"/>
      <c r="E20" s="10" t="str">
        <f aca="false">IF(C20="","",C20*D20)</f>
        <v/>
      </c>
      <c r="F20" s="6"/>
      <c r="G20" s="12" t="str">
        <f aca="false">IF(E20="","",E20-F20)</f>
        <v/>
      </c>
      <c r="H20" s="6"/>
      <c r="I20" s="6"/>
    </row>
    <row r="21" customFormat="false" ht="15" hidden="false" customHeight="false" outlineLevel="0" collapsed="false">
      <c r="A21" s="3"/>
      <c r="B21" s="3"/>
      <c r="C21" s="3"/>
      <c r="D21" s="3"/>
      <c r="E21" s="9" t="str">
        <f aca="false">IF(C21="","",C21*D21)</f>
        <v/>
      </c>
      <c r="F21" s="3"/>
      <c r="G21" s="11" t="str">
        <f aca="false">IF(E21="","",E21-F21)</f>
        <v/>
      </c>
      <c r="H21" s="3"/>
      <c r="I21" s="3"/>
    </row>
    <row r="22" customFormat="false" ht="15" hidden="false" customHeight="false" outlineLevel="0" collapsed="false">
      <c r="A22" s="6"/>
      <c r="B22" s="6"/>
      <c r="C22" s="6"/>
      <c r="D22" s="6"/>
      <c r="E22" s="10" t="str">
        <f aca="false">IF(C22="","",C22*D22)</f>
        <v/>
      </c>
      <c r="F22" s="6"/>
      <c r="G22" s="12" t="str">
        <f aca="false">IF(E22="","",E22-F22)</f>
        <v/>
      </c>
      <c r="H22" s="6"/>
      <c r="I22" s="6"/>
    </row>
    <row r="23" customFormat="false" ht="15" hidden="false" customHeight="false" outlineLevel="0" collapsed="false">
      <c r="A23" s="3"/>
      <c r="B23" s="3"/>
      <c r="C23" s="3"/>
      <c r="D23" s="3"/>
      <c r="E23" s="9" t="str">
        <f aca="false">IF(C23="","",C23*D23)</f>
        <v/>
      </c>
      <c r="F23" s="3"/>
      <c r="G23" s="11" t="str">
        <f aca="false">IF(E23="","",E23-F23)</f>
        <v/>
      </c>
      <c r="H23" s="3"/>
      <c r="I23" s="3"/>
    </row>
    <row r="24" customFormat="false" ht="15" hidden="false" customHeight="false" outlineLevel="0" collapsed="false">
      <c r="A24" s="6"/>
      <c r="B24" s="6"/>
      <c r="C24" s="6"/>
      <c r="D24" s="6"/>
      <c r="E24" s="10" t="str">
        <f aca="false">IF(C24="","",C24*D24)</f>
        <v/>
      </c>
      <c r="F24" s="6"/>
      <c r="G24" s="12" t="str">
        <f aca="false">IF(E24="","",E24-F24)</f>
        <v/>
      </c>
      <c r="H24" s="6"/>
      <c r="I24" s="6"/>
    </row>
    <row r="25" customFormat="false" ht="15" hidden="false" customHeight="false" outlineLevel="0" collapsed="false">
      <c r="A25" s="3"/>
      <c r="B25" s="3"/>
      <c r="C25" s="3"/>
      <c r="D25" s="3"/>
      <c r="E25" s="9" t="str">
        <f aca="false">IF(C25="","",C25*D25)</f>
        <v/>
      </c>
      <c r="F25" s="3"/>
      <c r="G25" s="11" t="str">
        <f aca="false">IF(E25="","",E25-F25)</f>
        <v/>
      </c>
      <c r="H25" s="3"/>
      <c r="I25" s="3"/>
    </row>
    <row r="26" customFormat="false" ht="15" hidden="false" customHeight="false" outlineLevel="0" collapsed="false">
      <c r="A26" s="6"/>
      <c r="B26" s="6"/>
      <c r="C26" s="6"/>
      <c r="D26" s="6"/>
      <c r="E26" s="10" t="str">
        <f aca="false">IF(C26="","",C26*D26)</f>
        <v/>
      </c>
      <c r="F26" s="6"/>
      <c r="G26" s="12" t="str">
        <f aca="false">IF(E26="","",E26-F26)</f>
        <v/>
      </c>
      <c r="H26" s="6"/>
      <c r="I26" s="6"/>
    </row>
    <row r="27" customFormat="false" ht="15" hidden="false" customHeight="false" outlineLevel="0" collapsed="false">
      <c r="A27" s="3"/>
      <c r="B27" s="3"/>
      <c r="C27" s="3"/>
      <c r="D27" s="3"/>
      <c r="E27" s="9" t="str">
        <f aca="false">IF(C27="","",C27*D27)</f>
        <v/>
      </c>
      <c r="F27" s="3"/>
      <c r="G27" s="11" t="str">
        <f aca="false">IF(E27="","",E27-F27)</f>
        <v/>
      </c>
      <c r="H27" s="3"/>
      <c r="I27" s="3"/>
    </row>
    <row r="28" customFormat="false" ht="15" hidden="false" customHeight="false" outlineLevel="0" collapsed="false">
      <c r="A28" s="6"/>
      <c r="B28" s="6"/>
      <c r="C28" s="6"/>
      <c r="D28" s="6"/>
      <c r="E28" s="10" t="str">
        <f aca="false">IF(C28="","",C28*D28)</f>
        <v/>
      </c>
      <c r="F28" s="6"/>
      <c r="G28" s="12" t="str">
        <f aca="false">IF(E28="","",E28-F28)</f>
        <v/>
      </c>
      <c r="H28" s="6"/>
      <c r="I28" s="6"/>
    </row>
    <row r="29" customFormat="false" ht="15" hidden="false" customHeight="false" outlineLevel="0" collapsed="false">
      <c r="A29" s="3"/>
      <c r="B29" s="3"/>
      <c r="C29" s="3"/>
      <c r="D29" s="3"/>
      <c r="E29" s="9" t="str">
        <f aca="false">IF(C29="","",C29*D29)</f>
        <v/>
      </c>
      <c r="F29" s="3"/>
      <c r="G29" s="11" t="str">
        <f aca="false">IF(E29="","",E29-F29)</f>
        <v/>
      </c>
      <c r="H29" s="3"/>
      <c r="I29" s="3"/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H3:H29" type="list">
      <formula1>"ביט,העברה בנקאית,מזומן,–"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6"/>
  </cols>
  <sheetData>
    <row r="1" customFormat="false" ht="36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3" t="s">
        <v>53</v>
      </c>
      <c r="B2" s="14" t="s">
        <v>54</v>
      </c>
      <c r="C2" s="14" t="s">
        <v>55</v>
      </c>
      <c r="D2" s="14" t="s">
        <v>56</v>
      </c>
      <c r="E2" s="14" t="s">
        <v>57</v>
      </c>
      <c r="F2" s="14" t="s">
        <v>58</v>
      </c>
      <c r="G2" s="14" t="s">
        <v>59</v>
      </c>
    </row>
    <row r="3" customFormat="false" ht="27.75" hidden="false" customHeight="true" outlineLevel="0" collapsed="false">
      <c r="A3" s="2" t="s">
        <v>60</v>
      </c>
      <c r="B3" s="15"/>
      <c r="C3" s="15"/>
      <c r="D3" s="15"/>
      <c r="E3" s="15"/>
      <c r="F3" s="15"/>
      <c r="G3" s="15"/>
    </row>
    <row r="4" customFormat="false" ht="27.75" hidden="false" customHeight="true" outlineLevel="0" collapsed="false">
      <c r="A4" s="2" t="s">
        <v>61</v>
      </c>
      <c r="B4" s="16" t="s">
        <v>12</v>
      </c>
      <c r="C4" s="15"/>
      <c r="D4" s="15"/>
      <c r="E4" s="15"/>
      <c r="F4" s="17" t="s">
        <v>26</v>
      </c>
      <c r="G4" s="15"/>
    </row>
    <row r="5" customFormat="false" ht="27.75" hidden="false" customHeight="true" outlineLevel="0" collapsed="false">
      <c r="A5" s="2" t="s">
        <v>62</v>
      </c>
      <c r="B5" s="15"/>
      <c r="C5" s="15"/>
      <c r="D5" s="15"/>
      <c r="E5" s="15"/>
      <c r="F5" s="15"/>
      <c r="G5" s="15"/>
    </row>
    <row r="6" customFormat="false" ht="27.75" hidden="false" customHeight="true" outlineLevel="0" collapsed="false">
      <c r="A6" s="2" t="s">
        <v>63</v>
      </c>
      <c r="B6" s="15"/>
      <c r="C6" s="15"/>
      <c r="D6" s="18" t="s">
        <v>19</v>
      </c>
      <c r="E6" s="15"/>
      <c r="F6" s="15"/>
      <c r="G6" s="15"/>
    </row>
    <row r="7" customFormat="false" ht="27.75" hidden="false" customHeight="true" outlineLevel="0" collapsed="false">
      <c r="A7" s="2" t="s">
        <v>64</v>
      </c>
      <c r="B7" s="15"/>
      <c r="C7" s="15"/>
      <c r="D7" s="15"/>
      <c r="E7" s="15"/>
      <c r="F7" s="15"/>
      <c r="G7" s="15"/>
    </row>
    <row r="8" customFormat="false" ht="27.75" hidden="false" customHeight="true" outlineLevel="0" collapsed="false">
      <c r="A8" s="2" t="s">
        <v>65</v>
      </c>
      <c r="B8" s="15"/>
      <c r="C8" s="15"/>
      <c r="D8" s="15"/>
      <c r="E8" s="15"/>
      <c r="F8" s="15"/>
      <c r="G8" s="15"/>
    </row>
    <row r="9" customFormat="false" ht="27.75" hidden="false" customHeight="true" outlineLevel="0" collapsed="false">
      <c r="A9" s="2" t="s">
        <v>66</v>
      </c>
      <c r="B9" s="15"/>
      <c r="C9" s="19" t="s">
        <v>30</v>
      </c>
      <c r="D9" s="15"/>
      <c r="E9" s="15"/>
      <c r="F9" s="15"/>
      <c r="G9" s="15"/>
    </row>
    <row r="10" customFormat="false" ht="27.75" hidden="false" customHeight="true" outlineLevel="0" collapsed="false">
      <c r="A10" s="2" t="s">
        <v>67</v>
      </c>
      <c r="B10" s="15"/>
      <c r="C10" s="15"/>
      <c r="D10" s="15"/>
      <c r="E10" s="15"/>
      <c r="F10" s="15"/>
      <c r="G10" s="15"/>
    </row>
    <row r="11" customFormat="false" ht="27.75" hidden="false" customHeight="true" outlineLevel="0" collapsed="false">
      <c r="A11" s="2" t="s">
        <v>68</v>
      </c>
      <c r="B11" s="15"/>
      <c r="C11" s="15"/>
      <c r="D11" s="15"/>
      <c r="E11" s="15"/>
      <c r="F11" s="15"/>
      <c r="G11" s="15"/>
    </row>
    <row r="12" customFormat="false" ht="27.75" hidden="false" customHeight="true" outlineLevel="0" collapsed="false">
      <c r="A12" s="2" t="s">
        <v>69</v>
      </c>
      <c r="B12" s="15"/>
      <c r="C12" s="15"/>
      <c r="D12" s="15"/>
      <c r="E12" s="15"/>
      <c r="F12" s="15"/>
      <c r="G12" s="15"/>
    </row>
    <row r="13" customFormat="false" ht="27.75" hidden="false" customHeight="true" outlineLevel="0" collapsed="false">
      <c r="A13" s="2" t="s">
        <v>70</v>
      </c>
      <c r="B13" s="15"/>
      <c r="C13" s="15"/>
      <c r="D13" s="15"/>
      <c r="E13" s="15"/>
      <c r="F13" s="15"/>
      <c r="G13" s="15"/>
    </row>
    <row r="14" customFormat="false" ht="27.75" hidden="false" customHeight="true" outlineLevel="0" collapsed="false">
      <c r="A14" s="2" t="s">
        <v>71</v>
      </c>
      <c r="B14" s="15"/>
      <c r="C14" s="15"/>
      <c r="D14" s="15"/>
      <c r="E14" s="15"/>
      <c r="F14" s="15"/>
      <c r="G14" s="15"/>
    </row>
    <row r="15" customFormat="false" ht="19.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</sheetData>
  <mergeCells count="2">
    <mergeCell ref="A1:H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N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0"/>
    <col collapsed="false" customWidth="true" hidden="false" outlineLevel="0" max="14" min="14" style="0" width="14"/>
  </cols>
  <sheetData>
    <row r="1" customFormat="false" ht="36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13" t="s">
        <v>73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G2" s="14" t="s">
        <v>79</v>
      </c>
      <c r="H2" s="14" t="s">
        <v>80</v>
      </c>
      <c r="I2" s="14" t="s">
        <v>81</v>
      </c>
      <c r="J2" s="14" t="s">
        <v>82</v>
      </c>
      <c r="K2" s="14" t="s">
        <v>83</v>
      </c>
      <c r="L2" s="14" t="s">
        <v>84</v>
      </c>
      <c r="M2" s="14" t="s">
        <v>85</v>
      </c>
      <c r="N2" s="13" t="s">
        <v>86</v>
      </c>
    </row>
    <row r="3" customFormat="false" ht="21.75" hidden="false" customHeight="true" outlineLevel="0" collapsed="false">
      <c r="A3" s="21" t="s">
        <v>12</v>
      </c>
      <c r="B3" s="22" t="n">
        <v>720</v>
      </c>
      <c r="C3" s="22" t="n">
        <v>720</v>
      </c>
      <c r="D3" s="22" t="n">
        <v>720</v>
      </c>
      <c r="E3" s="22" t="n">
        <v>720</v>
      </c>
      <c r="F3" s="22" t="n">
        <v>720</v>
      </c>
      <c r="G3" s="22" t="n">
        <v>720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4" t="n">
        <f aca="false">SUM(B3:M3)</f>
        <v>4320</v>
      </c>
    </row>
    <row r="4" customFormat="false" ht="21.75" hidden="false" customHeight="true" outlineLevel="0" collapsed="false">
      <c r="A4" s="25" t="s">
        <v>19</v>
      </c>
      <c r="B4" s="26" t="n">
        <v>540</v>
      </c>
      <c r="C4" s="26" t="n">
        <v>540</v>
      </c>
      <c r="D4" s="26" t="n">
        <v>540</v>
      </c>
      <c r="E4" s="26" t="n">
        <v>540</v>
      </c>
      <c r="F4" s="26" t="n">
        <v>720</v>
      </c>
      <c r="G4" s="26" t="n">
        <v>720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4" t="n">
        <f aca="false">SUM(B4:M4)</f>
        <v>3600</v>
      </c>
    </row>
    <row r="5" customFormat="false" ht="21.75" hidden="false" customHeight="true" outlineLevel="0" collapsed="false">
      <c r="A5" s="21" t="s">
        <v>26</v>
      </c>
      <c r="B5" s="22" t="n">
        <v>360</v>
      </c>
      <c r="C5" s="22" t="n">
        <v>360</v>
      </c>
      <c r="D5" s="22" t="n">
        <v>540</v>
      </c>
      <c r="E5" s="22" t="n">
        <v>540</v>
      </c>
      <c r="F5" s="22" t="n">
        <v>540</v>
      </c>
      <c r="G5" s="22" t="n">
        <v>540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4" t="n">
        <f aca="false">SUM(B5:M5)</f>
        <v>2880</v>
      </c>
    </row>
    <row r="6" customFormat="false" ht="21.75" hidden="false" customHeight="true" outlineLevel="0" collapsed="false">
      <c r="A6" s="25" t="s">
        <v>30</v>
      </c>
      <c r="B6" s="27" t="n">
        <v>0</v>
      </c>
      <c r="C6" s="27" t="n">
        <v>0</v>
      </c>
      <c r="D6" s="26" t="n">
        <v>180</v>
      </c>
      <c r="E6" s="26" t="n">
        <v>180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  <c r="N6" s="24" t="n">
        <f aca="false">SUM(B6:M6)</f>
        <v>360</v>
      </c>
    </row>
    <row r="7" customFormat="false" ht="25.5" hidden="false" customHeight="true" outlineLevel="0" collapsed="false">
      <c r="A7" s="28" t="s">
        <v>87</v>
      </c>
      <c r="B7" s="29" t="n">
        <f aca="false">SUM(B3:B6)</f>
        <v>1620</v>
      </c>
      <c r="C7" s="29" t="n">
        <f aca="false">SUM(C3:C6)</f>
        <v>1620</v>
      </c>
      <c r="D7" s="29" t="n">
        <f aca="false">SUM(D3:D6)</f>
        <v>1980</v>
      </c>
      <c r="E7" s="29" t="n">
        <f aca="false">SUM(E3:E6)</f>
        <v>1980</v>
      </c>
      <c r="F7" s="29" t="n">
        <f aca="false">SUM(F3:F6)</f>
        <v>1980</v>
      </c>
      <c r="G7" s="29" t="n">
        <f aca="false">SUM(G3:G6)</f>
        <v>1980</v>
      </c>
      <c r="H7" s="29" t="n">
        <f aca="false">SUM(H3:H6)</f>
        <v>0</v>
      </c>
      <c r="I7" s="29" t="n">
        <f aca="false">SUM(I3:I6)</f>
        <v>0</v>
      </c>
      <c r="J7" s="29" t="n">
        <f aca="false">SUM(J3:J6)</f>
        <v>0</v>
      </c>
      <c r="K7" s="29" t="n">
        <f aca="false">SUM(K3:K6)</f>
        <v>0</v>
      </c>
      <c r="L7" s="29" t="n">
        <f aca="false">SUM(L3:L6)</f>
        <v>0</v>
      </c>
      <c r="M7" s="29" t="n">
        <f aca="false">SUM(M3:M6)</f>
        <v>0</v>
      </c>
      <c r="N7" s="29" t="n">
        <f aca="false">SUM(N3:N6)</f>
        <v>11160</v>
      </c>
    </row>
    <row r="8" customFormat="false" ht="15" hidden="false" customHeight="false" outlineLevel="0" collapsed="false">
      <c r="A8" s="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4" t="n">
        <f aca="false">SUM(B8:M8)</f>
        <v>0</v>
      </c>
    </row>
    <row r="9" customFormat="false" ht="15" hidden="false" customHeight="false" outlineLevel="0" collapsed="false">
      <c r="A9" s="3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24" t="n">
        <f aca="false">SUM(B9:M9)</f>
        <v>0</v>
      </c>
    </row>
    <row r="10" customFormat="false" ht="15" hidden="false" customHeight="false" outlineLevel="0" collapsed="false">
      <c r="A10" s="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4" t="n">
        <f aca="false">SUM(B10:M10)</f>
        <v>0</v>
      </c>
    </row>
    <row r="11" customFormat="false" ht="15" hidden="false" customHeight="false" outlineLevel="0" collapsed="false">
      <c r="A11" s="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24" t="n">
        <f aca="false">SUM(B11:M11)</f>
        <v>0</v>
      </c>
    </row>
    <row r="12" customFormat="false" ht="15" hidden="false" customHeight="false" outlineLevel="0" collapsed="false">
      <c r="A12" s="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4" t="n">
        <f aca="false">SUM(B12:M12)</f>
        <v>0</v>
      </c>
    </row>
    <row r="13" customFormat="false" ht="15" hidden="false" customHeight="false" outlineLevel="0" collapsed="false">
      <c r="A13" s="3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4" t="n">
        <f aca="false">SUM(B13:M13)</f>
        <v>0</v>
      </c>
    </row>
    <row r="14" customFormat="false" ht="15" hidden="false" customHeight="false" outlineLevel="0" collapsed="false">
      <c r="A14" s="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4" t="n">
        <f aca="false">SUM(B14:M14)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2026-06-03T12:05:29Z</dcterms:created>
  <dc:creator>openpyxl</dc:creator>
  <dc:description/>
  <dc:language>en-US</dc:language>
  <cp:lastModifiedBy/>
  <dcterms:modified xsi:type="dcterms:W3CDTF">2026-06-03T12:05:29Z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