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תלמידות" sheetId="1" r:id="rId1"/>
    <sheet name="תשלומים" sheetId="2" r:id="rId2"/>
    <sheet name="לוז שבועי" sheetId="3" r:id="rId3"/>
    <sheet name="הכנסות חודשיות" sheetId="4" r:id="rId4"/>
  </sheets>
  <calcPr fullCalcOnLoad="1"/>
</workbook>
</file>

<file path=xl/styles.xml><?xml version="1.0" encoding="utf-8"?>
<styleSheet xmlns="http://schemas.openxmlformats.org/spreadsheetml/2006/main">
  <numFmts count="3">
    <numFmt numFmtId="165" formatCode="#,##0&quot; ₪&quot;"/>
    <numFmt numFmtId="167" formatCode="#,##0&quot; ₪&quot;;\-;\-"/>
    <numFmt numFmtId="168" formatCode="dd/mm/yyyy"/>
  </numFmts>
  <fonts count="6">
    <font>
      <sz val="11"/>
      <name val="Arial"/>
      <color rgb="FF1A3054"/>
    </font>
    <font>
      <b/>
      <sz val="15"/>
      <name val="Arial"/>
      <color rgb="FFFFFFFF"/>
    </font>
    <font>
      <b/>
      <sz val="11"/>
      <name val="Arial"/>
      <color rgb="FFFFFFFF"/>
    </font>
    <font>
      <b/>
      <sz val="11"/>
      <name val="Arial"/>
      <color rgb="FF1A3054"/>
    </font>
    <font>
      <sz val="10"/>
      <name val="Arial"/>
      <color rgb="FF4E6278"/>
    </font>
    <font>
      <b/>
      <sz val="11"/>
      <name val="Arial"/>
      <color rgb="FF2C6FAD"/>
    </font>
  </fonts>
  <fills count="8">
    <fill>
      <patternFill patternType="none"/>
    </fill>
    <fill>
      <patternFill patternType="gray125"/>
    </fill>
    <fill>
      <patternFill patternType="solid">
        <fgColor rgb="FF1A30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E8EAF0"/>
        <bgColor indexed="64"/>
      </patternFill>
    </fill>
    <fill>
      <patternFill patternType="solid">
        <fgColor rgb="FF2C6FAD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 applyAlignment="1">
      <alignment vertical="center"/>
    </xf>
    <xf numFmtId="0" fontId="1" fillId="2" borderId="0" xfId="0" applyFont="1" applyFill="1" applyAlignment="1">
      <alignment horizontal="right" vertical="center" indent="1"/>
    </xf>
    <xf numFmtId="0" fontId="2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5" fontId="0" fillId="3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tabSelected="1" workbookViewId="0">
      <pane ySplit="2" topLeftCell="A3" activePane="bottomLeft" state="frozen"/>
      <selection pane="bottomLeft"/>
    </sheetView>
  </sheetViews>
  <sheetFormatPr defaultRowHeight="18"/>
  <cols>
    <col min="1" max="1" width="4" customWidth="1"/>
    <col min="2" max="2" width="18" customWidth="1"/>
    <col min="3" max="3" width="14" customWidth="1"/>
    <col min="4" max="4" width="14" customWidth="1"/>
    <col min="5" max="5" width="20" customWidth="1"/>
    <col min="6" max="6" width="18" customWidth="1"/>
    <col min="7" max="7" width="16" customWidth="1"/>
    <col min="8" max="8" width="14" customWidth="1"/>
    <col min="9" max="9" width="10" customWidth="1"/>
    <col min="10" max="10" width="14" customWidth="1"/>
    <col min="11" max="11" width="20" customWidth="1"/>
  </cols>
  <sheetData>
    <row r="1" ht="36" customHeight="1">
      <c r="A1" s="1" t="inlineStr">
        <is>
          <t xml:space="preserve">טק בגובה העיניים – דנה קוניק  |  רשימת תלמידות</t>
        </is>
      </c>
    </row>
    <row r="2" ht="26" customHeight="1">
      <c r="A2" s="2" t="inlineStr">
        <is>
          <t xml:space="preserve">#</t>
        </is>
      </c>
      <c r="B2" s="2" t="inlineStr">
        <is>
          <t xml:space="preserve">שם מלא</t>
        </is>
      </c>
      <c r="C2" s="2" t="inlineStr">
        <is>
          <t xml:space="preserve">טלפון</t>
        </is>
      </c>
      <c r="D2" s="2" t="inlineStr">
        <is>
          <t xml:space="preserve">עיר</t>
        </is>
      </c>
      <c r="E2" s="2" t="inlineStr">
        <is>
          <t xml:space="preserve">רמה</t>
        </is>
      </c>
      <c r="F2" s="2" t="inlineStr">
        <is>
          <t xml:space="preserve">ימים ושעות</t>
        </is>
      </c>
      <c r="G2" s="2" t="inlineStr">
        <is>
          <t xml:space="preserve">מחיר לשיעור (₪)</t>
        </is>
      </c>
      <c r="H2" s="2" t="inlineStr">
        <is>
          <t xml:space="preserve">תאריך התחלה</t>
        </is>
      </c>
      <c r="I2" s="2" t="inlineStr">
        <is>
          <t xml:space="preserve">סטטוס</t>
        </is>
      </c>
      <c r="J2" s="2" t="inlineStr">
        <is>
          <t xml:space="preserve">מספר שיעורים</t>
        </is>
      </c>
      <c r="K2" s="2" t="inlineStr">
        <is>
          <t xml:space="preserve">הערות</t>
        </is>
      </c>
    </row>
    <row r="3">
      <c r="A3" s="7">
        <v>1</v>
      </c>
      <c r="B3" s="3" t="inlineStr">
        <is>
          <t xml:space="preserve">מרים כהן</t>
        </is>
      </c>
      <c r="C3" s="7" t="inlineStr">
        <is>
          <t xml:space="preserve">052-111-2233</t>
        </is>
      </c>
      <c r="D3" s="3" t="inlineStr">
        <is>
          <t xml:space="preserve">רמת השרון</t>
        </is>
      </c>
      <c r="E3" s="3" t="inlineStr">
        <is>
          <t xml:space="preserve">רמה 1 – סמארטפון</t>
        </is>
      </c>
      <c r="F3" s="7" t="inlineStr">
        <is>
          <t xml:space="preserve">ראשון 10:00</t>
        </is>
      </c>
      <c r="G3" s="5">
        <v>180</v>
      </c>
      <c r="H3" s="7" t="inlineStr">
        <is>
          <t xml:space="preserve">01/09/2025</t>
        </is>
      </c>
      <c r="I3" s="7" t="inlineStr">
        <is>
          <t xml:space="preserve">פעיל</t>
        </is>
      </c>
      <c r="J3" s="7">
        <v>8</v>
      </c>
      <c r="K3" s="3"/>
    </row>
    <row r="4">
      <c r="A4" s="8">
        <v>2</v>
      </c>
      <c r="B4" s="4" t="inlineStr">
        <is>
          <t xml:space="preserve">רות לוי</t>
        </is>
      </c>
      <c r="C4" s="8" t="inlineStr">
        <is>
          <t xml:space="preserve">054-222-3344</t>
        </is>
      </c>
      <c r="D4" s="4" t="inlineStr">
        <is>
          <t xml:space="preserve">הרצליה</t>
        </is>
      </c>
      <c r="E4" s="4" t="inlineStr">
        <is>
          <t xml:space="preserve">רמה 2 – מחשב</t>
        </is>
      </c>
      <c r="F4" s="8" t="inlineStr">
        <is>
          <t xml:space="preserve">שלישי 11:00</t>
        </is>
      </c>
      <c r="G4" s="6">
        <v>180</v>
      </c>
      <c r="H4" s="8" t="inlineStr">
        <is>
          <t xml:space="preserve">15/09/2025</t>
        </is>
      </c>
      <c r="I4" s="8" t="inlineStr">
        <is>
          <t xml:space="preserve">פעיל</t>
        </is>
      </c>
      <c r="J4" s="8">
        <v>6</v>
      </c>
      <c r="K4" s="4" t="inlineStr">
        <is>
          <t xml:space="preserve">מעדיפה שיעורים קצרים</t>
        </is>
      </c>
    </row>
    <row r="5">
      <c r="A5" s="7">
        <v>3</v>
      </c>
      <c r="B5" s="3" t="inlineStr">
        <is>
          <t xml:space="preserve">שושנה ברק</t>
        </is>
      </c>
      <c r="C5" s="7" t="inlineStr">
        <is>
          <t xml:space="preserve">050-333-4455</t>
        </is>
      </c>
      <c r="D5" s="3" t="inlineStr">
        <is>
          <t xml:space="preserve">רמת השרון</t>
        </is>
      </c>
      <c r="E5" s="3" t="inlineStr">
        <is>
          <t xml:space="preserve">רמה 1 – סמארטפון</t>
        </is>
      </c>
      <c r="F5" s="7" t="inlineStr">
        <is>
          <t xml:space="preserve">חמישי 09:00</t>
        </is>
      </c>
      <c r="G5" s="5">
        <v>180</v>
      </c>
      <c r="H5" s="7" t="inlineStr">
        <is>
          <t xml:space="preserve">01/10/2025</t>
        </is>
      </c>
      <c r="I5" s="7" t="inlineStr">
        <is>
          <t xml:space="preserve">פעיל</t>
        </is>
      </c>
      <c r="J5" s="7">
        <v>4</v>
      </c>
      <c r="K5" s="3"/>
    </row>
    <row r="6">
      <c r="A6" s="8">
        <v>4</v>
      </c>
      <c r="B6" s="4" t="inlineStr">
        <is>
          <t xml:space="preserve">חנה גולן</t>
        </is>
      </c>
      <c r="C6" s="8" t="inlineStr">
        <is>
          <t xml:space="preserve">058-444-5566</t>
        </is>
      </c>
      <c r="D6" s="4" t="inlineStr">
        <is>
          <t xml:space="preserve">כפר סבא</t>
        </is>
      </c>
      <c r="E6" s="4" t="inlineStr">
        <is>
          <t xml:space="preserve">רמה 3 – AI</t>
        </is>
      </c>
      <c r="F6" s="8" t="inlineStr">
        <is>
          <t xml:space="preserve">שני 14:00</t>
        </is>
      </c>
      <c r="G6" s="6">
        <v>180</v>
      </c>
      <c r="H6" s="8"/>
      <c r="I6" s="8" t="inlineStr">
        <is>
          <t xml:space="preserve">הפסקה</t>
        </is>
      </c>
      <c r="J6" s="8">
        <v>0</v>
      </c>
      <c r="K6" s="4" t="inlineStr">
        <is>
          <t xml:space="preserve">חזרה בינואר</t>
        </is>
      </c>
    </row>
    <row r="7">
      <c r="A7" s="7"/>
      <c r="B7" s="3"/>
      <c r="C7" s="7"/>
      <c r="D7" s="3"/>
      <c r="E7" s="3"/>
      <c r="F7" s="7"/>
      <c r="G7" s="5"/>
      <c r="H7" s="7"/>
      <c r="I7" s="7"/>
      <c r="J7" s="7"/>
      <c r="K7" s="3"/>
    </row>
    <row r="8">
      <c r="A8" s="8"/>
      <c r="B8" s="4"/>
      <c r="C8" s="8"/>
      <c r="D8" s="4"/>
      <c r="E8" s="4"/>
      <c r="F8" s="8"/>
      <c r="G8" s="6"/>
      <c r="H8" s="8"/>
      <c r="I8" s="8"/>
      <c r="J8" s="8"/>
      <c r="K8" s="4"/>
    </row>
    <row r="9">
      <c r="A9" s="7"/>
      <c r="B9" s="3"/>
      <c r="C9" s="7"/>
      <c r="D9" s="3"/>
      <c r="E9" s="3"/>
      <c r="F9" s="7"/>
      <c r="G9" s="5"/>
      <c r="H9" s="7"/>
      <c r="I9" s="7"/>
      <c r="J9" s="7"/>
      <c r="K9" s="3"/>
    </row>
    <row r="10">
      <c r="A10" s="8"/>
      <c r="B10" s="4"/>
      <c r="C10" s="8"/>
      <c r="D10" s="4"/>
      <c r="E10" s="4"/>
      <c r="F10" s="8"/>
      <c r="G10" s="6"/>
      <c r="H10" s="8"/>
      <c r="I10" s="8"/>
      <c r="J10" s="8"/>
      <c r="K10" s="4"/>
    </row>
    <row r="11">
      <c r="A11" s="7"/>
      <c r="B11" s="3"/>
      <c r="C11" s="7"/>
      <c r="D11" s="3"/>
      <c r="E11" s="3"/>
      <c r="F11" s="7"/>
      <c r="G11" s="5"/>
      <c r="H11" s="7"/>
      <c r="I11" s="7"/>
      <c r="J11" s="7"/>
      <c r="K11" s="3"/>
    </row>
    <row r="12">
      <c r="A12" s="8"/>
      <c r="B12" s="4"/>
      <c r="C12" s="8"/>
      <c r="D12" s="4"/>
      <c r="E12" s="4"/>
      <c r="F12" s="8"/>
      <c r="G12" s="6"/>
      <c r="H12" s="8"/>
      <c r="I12" s="8"/>
      <c r="J12" s="8"/>
      <c r="K12" s="4"/>
    </row>
    <row r="13">
      <c r="A13" s="7"/>
      <c r="B13" s="3"/>
      <c r="C13" s="7"/>
      <c r="D13" s="3"/>
      <c r="E13" s="3"/>
      <c r="F13" s="7"/>
      <c r="G13" s="5"/>
      <c r="H13" s="7"/>
      <c r="I13" s="7"/>
      <c r="J13" s="7"/>
      <c r="K13" s="3"/>
    </row>
    <row r="14">
      <c r="A14" s="8"/>
      <c r="B14" s="4"/>
      <c r="C14" s="8"/>
      <c r="D14" s="4"/>
      <c r="E14" s="4"/>
      <c r="F14" s="8"/>
      <c r="G14" s="6"/>
      <c r="H14" s="8"/>
      <c r="I14" s="8"/>
      <c r="J14" s="8"/>
      <c r="K14" s="4"/>
    </row>
    <row r="15">
      <c r="A15" s="7"/>
      <c r="B15" s="3"/>
      <c r="C15" s="7"/>
      <c r="D15" s="3"/>
      <c r="E15" s="3"/>
      <c r="F15" s="7"/>
      <c r="G15" s="5"/>
      <c r="H15" s="7"/>
      <c r="I15" s="7"/>
      <c r="J15" s="7"/>
      <c r="K15" s="3"/>
    </row>
    <row r="16">
      <c r="A16" s="8"/>
      <c r="B16" s="4"/>
      <c r="C16" s="8"/>
      <c r="D16" s="4"/>
      <c r="E16" s="4"/>
      <c r="F16" s="8"/>
      <c r="G16" s="6"/>
      <c r="H16" s="8"/>
      <c r="I16" s="8"/>
      <c r="J16" s="8"/>
      <c r="K16" s="4"/>
    </row>
    <row r="17">
      <c r="A17" s="7"/>
      <c r="B17" s="3"/>
      <c r="C17" s="7"/>
      <c r="D17" s="3"/>
      <c r="E17" s="3"/>
      <c r="F17" s="7"/>
      <c r="G17" s="5"/>
      <c r="H17" s="7"/>
      <c r="I17" s="7"/>
      <c r="J17" s="7"/>
      <c r="K17" s="3"/>
    </row>
    <row r="18">
      <c r="A18" s="8"/>
      <c r="B18" s="4"/>
      <c r="C18" s="8"/>
      <c r="D18" s="4"/>
      <c r="E18" s="4"/>
      <c r="F18" s="8"/>
      <c r="G18" s="6"/>
      <c r="H18" s="8"/>
      <c r="I18" s="8"/>
      <c r="J18" s="8"/>
      <c r="K18" s="4"/>
    </row>
    <row r="19">
      <c r="A19" s="7"/>
      <c r="B19" s="3"/>
      <c r="C19" s="7"/>
      <c r="D19" s="3"/>
      <c r="E19" s="3"/>
      <c r="F19" s="7"/>
      <c r="G19" s="5"/>
      <c r="H19" s="7"/>
      <c r="I19" s="7"/>
      <c r="J19" s="7"/>
      <c r="K19" s="3"/>
    </row>
    <row r="20">
      <c r="A20" s="8"/>
      <c r="B20" s="4"/>
      <c r="C20" s="8"/>
      <c r="D20" s="4"/>
      <c r="E20" s="4"/>
      <c r="F20" s="8"/>
      <c r="G20" s="6"/>
      <c r="H20" s="8"/>
      <c r="I20" s="8"/>
      <c r="J20" s="8"/>
      <c r="K20" s="4"/>
    </row>
    <row r="21">
      <c r="A21" s="7"/>
      <c r="B21" s="3"/>
      <c r="C21" s="7"/>
      <c r="D21" s="3"/>
      <c r="E21" s="3"/>
      <c r="F21" s="7"/>
      <c r="G21" s="5"/>
      <c r="H21" s="7"/>
      <c r="I21" s="7"/>
      <c r="J21" s="7"/>
      <c r="K21" s="3"/>
    </row>
    <row r="22">
      <c r="A22" s="8"/>
      <c r="B22" s="4"/>
      <c r="C22" s="8"/>
      <c r="D22" s="4"/>
      <c r="E22" s="4"/>
      <c r="F22" s="8"/>
      <c r="G22" s="6"/>
      <c r="H22" s="8"/>
      <c r="I22" s="8"/>
      <c r="J22" s="8"/>
      <c r="K22" s="4"/>
    </row>
    <row r="23">
      <c r="A23" s="7"/>
      <c r="B23" s="3"/>
      <c r="C23" s="7"/>
      <c r="D23" s="3"/>
      <c r="E23" s="3"/>
      <c r="F23" s="7"/>
      <c r="G23" s="5"/>
      <c r="H23" s="7"/>
      <c r="I23" s="7"/>
      <c r="J23" s="7"/>
      <c r="K23" s="3"/>
    </row>
    <row r="24">
      <c r="A24" s="8"/>
      <c r="B24" s="4"/>
      <c r="C24" s="8"/>
      <c r="D24" s="4"/>
      <c r="E24" s="4"/>
      <c r="F24" s="8"/>
      <c r="G24" s="6"/>
      <c r="H24" s="8"/>
      <c r="I24" s="8"/>
      <c r="J24" s="8"/>
      <c r="K24" s="4"/>
    </row>
    <row r="25">
      <c r="A25" s="7"/>
      <c r="B25" s="3"/>
      <c r="C25" s="7"/>
      <c r="D25" s="3"/>
      <c r="E25" s="3"/>
      <c r="F25" s="7"/>
      <c r="G25" s="5"/>
      <c r="H25" s="7"/>
      <c r="I25" s="7"/>
      <c r="J25" s="7"/>
      <c r="K25" s="3"/>
    </row>
    <row r="26">
      <c r="A26" s="8"/>
      <c r="B26" s="4"/>
      <c r="C26" s="8"/>
      <c r="D26" s="4"/>
      <c r="E26" s="4"/>
      <c r="F26" s="8"/>
      <c r="G26" s="6"/>
      <c r="H26" s="8"/>
      <c r="I26" s="8"/>
      <c r="J26" s="8"/>
      <c r="K26" s="4"/>
    </row>
    <row r="27">
      <c r="A27" s="7"/>
      <c r="B27" s="3"/>
      <c r="C27" s="7"/>
      <c r="D27" s="3"/>
      <c r="E27" s="3"/>
      <c r="F27" s="7"/>
      <c r="G27" s="5"/>
      <c r="H27" s="7"/>
      <c r="I27" s="7"/>
      <c r="J27" s="7"/>
      <c r="K27" s="3"/>
    </row>
    <row r="28">
      <c r="A28" s="8"/>
      <c r="B28" s="4"/>
      <c r="C28" s="8"/>
      <c r="D28" s="4"/>
      <c r="E28" s="4"/>
      <c r="F28" s="8"/>
      <c r="G28" s="6"/>
      <c r="H28" s="8"/>
      <c r="I28" s="8"/>
      <c r="J28" s="8"/>
      <c r="K28" s="4"/>
    </row>
    <row r="29">
      <c r="A29" s="7"/>
      <c r="B29" s="3"/>
      <c r="C29" s="7"/>
      <c r="D29" s="3"/>
      <c r="E29" s="3"/>
      <c r="F29" s="7"/>
      <c r="G29" s="5"/>
      <c r="H29" s="7"/>
      <c r="I29" s="7"/>
      <c r="J29" s="7"/>
      <c r="K29" s="3"/>
    </row>
    <row r="30">
      <c r="A30" s="8"/>
      <c r="B30" s="4"/>
      <c r="C30" s="8"/>
      <c r="D30" s="4"/>
      <c r="E30" s="4"/>
      <c r="F30" s="8"/>
      <c r="G30" s="6"/>
      <c r="H30" s="8"/>
      <c r="I30" s="8"/>
      <c r="J30" s="8"/>
      <c r="K30" s="4"/>
    </row>
    <row r="31">
      <c r="A31" s="7"/>
      <c r="B31" s="3"/>
      <c r="C31" s="7"/>
      <c r="D31" s="3"/>
      <c r="E31" s="3"/>
      <c r="F31" s="7"/>
      <c r="G31" s="5"/>
      <c r="H31" s="7"/>
      <c r="I31" s="7"/>
      <c r="J31" s="7"/>
      <c r="K31" s="3"/>
    </row>
    <row r="32">
      <c r="A32" s="8"/>
      <c r="B32" s="4"/>
      <c r="C32" s="8"/>
      <c r="D32" s="4"/>
      <c r="E32" s="4"/>
      <c r="F32" s="8"/>
      <c r="G32" s="6"/>
      <c r="H32" s="8"/>
      <c r="I32" s="8"/>
      <c r="J32" s="8"/>
      <c r="K32" s="4"/>
    </row>
    <row r="33">
      <c r="A33" s="7"/>
      <c r="B33" s="3"/>
      <c r="C33" s="7"/>
      <c r="D33" s="3"/>
      <c r="E33" s="3"/>
      <c r="F33" s="7"/>
      <c r="G33" s="5"/>
      <c r="H33" s="7"/>
      <c r="I33" s="7"/>
      <c r="J33" s="7"/>
      <c r="K33" s="3"/>
    </row>
    <row r="34">
      <c r="A34" s="8"/>
      <c r="B34" s="4"/>
      <c r="C34" s="8"/>
      <c r="D34" s="4"/>
      <c r="E34" s="4"/>
      <c r="F34" s="8"/>
      <c r="G34" s="6"/>
      <c r="H34" s="8"/>
      <c r="I34" s="8"/>
      <c r="J34" s="8"/>
      <c r="K34" s="4"/>
    </row>
    <row r="35">
      <c r="A35" s="7"/>
      <c r="B35" s="3"/>
      <c r="C35" s="7"/>
      <c r="D35" s="3"/>
      <c r="E35" s="3"/>
      <c r="F35" s="7"/>
      <c r="G35" s="5"/>
      <c r="H35" s="7"/>
      <c r="I35" s="7"/>
      <c r="J35" s="7"/>
      <c r="K35" s="3"/>
    </row>
    <row r="36">
      <c r="A36" s="8"/>
      <c r="B36" s="4"/>
      <c r="C36" s="8"/>
      <c r="D36" s="4"/>
      <c r="E36" s="4"/>
      <c r="F36" s="8"/>
      <c r="G36" s="6"/>
      <c r="H36" s="8"/>
      <c r="I36" s="8"/>
      <c r="J36" s="8"/>
      <c r="K36" s="4"/>
    </row>
    <row r="37">
      <c r="A37" s="7"/>
      <c r="B37" s="3"/>
      <c r="C37" s="7"/>
      <c r="D37" s="3"/>
      <c r="E37" s="3"/>
      <c r="F37" s="7"/>
      <c r="G37" s="5"/>
      <c r="H37" s="7"/>
      <c r="I37" s="7"/>
      <c r="J37" s="7"/>
      <c r="K37" s="3"/>
    </row>
    <row r="38">
      <c r="A38" s="8"/>
      <c r="B38" s="4"/>
      <c r="C38" s="8"/>
      <c r="D38" s="4"/>
      <c r="E38" s="4"/>
      <c r="F38" s="8"/>
      <c r="G38" s="6"/>
      <c r="H38" s="8"/>
      <c r="I38" s="8"/>
      <c r="J38" s="8"/>
      <c r="K38" s="4"/>
    </row>
    <row r="39">
      <c r="A39" s="7"/>
      <c r="B39" s="3"/>
      <c r="C39" s="7"/>
      <c r="D39" s="3"/>
      <c r="E39" s="3"/>
      <c r="F39" s="7"/>
      <c r="G39" s="5"/>
      <c r="H39" s="7"/>
      <c r="I39" s="7"/>
      <c r="J39" s="7"/>
      <c r="K39" s="3"/>
    </row>
    <row r="40">
      <c r="A40" s="8"/>
      <c r="B40" s="4"/>
      <c r="C40" s="8"/>
      <c r="D40" s="4"/>
      <c r="E40" s="4"/>
      <c r="F40" s="8"/>
      <c r="G40" s="6"/>
      <c r="H40" s="8"/>
      <c r="I40" s="8"/>
      <c r="J40" s="8"/>
      <c r="K40" s="4"/>
    </row>
    <row r="41">
      <c r="A41" s="7"/>
      <c r="B41" s="3"/>
      <c r="C41" s="7"/>
      <c r="D41" s="3"/>
      <c r="E41" s="3"/>
      <c r="F41" s="7"/>
      <c r="G41" s="5"/>
      <c r="H41" s="7"/>
      <c r="I41" s="7"/>
      <c r="J41" s="7"/>
      <c r="K41" s="3"/>
    </row>
    <row r="42">
      <c r="A42" s="8"/>
      <c r="B42" s="4"/>
      <c r="C42" s="8"/>
      <c r="D42" s="4"/>
      <c r="E42" s="4"/>
      <c r="F42" s="8"/>
      <c r="G42" s="6"/>
      <c r="H42" s="8"/>
      <c r="I42" s="8"/>
      <c r="J42" s="8"/>
      <c r="K42" s="4"/>
    </row>
  </sheetData>
  <autoFilter ref="A2:K2"/>
  <mergeCells count="1">
    <mergeCell ref="A1:K1"/>
  </mergeCells>
  <dataValidations count="2">
    <dataValidation type="list" allowBlank="1" showInputMessage="1" showErrorMessage="1" sqref="E3:E42">
      <formula1>"רמה 1 – סמארטפון,רמה 2 – מחשב,רמה 3 – AI"</formula1>
    </dataValidation>
    <dataValidation type="list" allowBlank="1" showInputMessage="1" showErrorMessage="1" sqref="I3:I42">
      <formula1>"פעיל,הפסקה,סיים"</formula1>
    </dataValidation>
  </dataValidations>
</worksheet>
</file>

<file path=xl/worksheets/sheet2.xml><?xml version="1.0" encoding="utf-8"?>
<worksheet xmlns="http://schemas.openxmlformats.org/spreadsheetml/2006/main">
  <sheetViews>
    <sheetView rightToLeft="1" workbookViewId="0">
      <pane ySplit="2" topLeftCell="A3" activePane="bottomLeft" state="frozen"/>
      <selection pane="bottomLeft"/>
    </sheetView>
  </sheetViews>
  <sheetFormatPr defaultRowHeight="18"/>
  <cols>
    <col min="1" max="1" width="12" customWidth="1"/>
    <col min="2" max="2" width="18" customWidth="1"/>
    <col min="3" max="3" width="14" customWidth="1"/>
    <col min="4" max="4" width="16" customWidth="1"/>
    <col min="5" max="5" width="16" customWidth="1"/>
    <col min="6" max="6" width="12" customWidth="1"/>
    <col min="7" max="7" width="12" customWidth="1"/>
    <col min="8" max="8" width="14" customWidth="1"/>
    <col min="9" max="9" width="20" customWidth="1"/>
  </cols>
  <sheetData>
    <row r="1" ht="36" customHeight="1">
      <c r="A1" s="1" t="inlineStr">
        <is>
          <t xml:space="preserve">טק בגובה העיניים – דנה קוניק  |  מעקב תשלומים</t>
        </is>
      </c>
    </row>
    <row r="2" ht="26" customHeight="1">
      <c r="A2" s="2" t="inlineStr">
        <is>
          <t xml:space="preserve">תאריך</t>
        </is>
      </c>
      <c r="B2" s="2" t="inlineStr">
        <is>
          <t xml:space="preserve">שם תלמידה</t>
        </is>
      </c>
      <c r="C2" s="2" t="inlineStr">
        <is>
          <t xml:space="preserve">שיעורים החודש</t>
        </is>
      </c>
      <c r="D2" s="2" t="inlineStr">
        <is>
          <t xml:space="preserve">מחיר לשיעור (₪)</t>
        </is>
      </c>
      <c r="E2" s="2" t="inlineStr">
        <is>
          <t xml:space="preserve">סכום לתשלום (₪)</t>
        </is>
      </c>
      <c r="F2" s="2" t="inlineStr">
        <is>
          <t xml:space="preserve">שולם (₪)</t>
        </is>
      </c>
      <c r="G2" s="2" t="inlineStr">
        <is>
          <t xml:space="preserve">יתרה (₪)</t>
        </is>
      </c>
      <c r="H2" s="2" t="inlineStr">
        <is>
          <t xml:space="preserve">אמצעי תשלום</t>
        </is>
      </c>
      <c r="I2" s="2" t="inlineStr">
        <is>
          <t xml:space="preserve">הערות</t>
        </is>
      </c>
    </row>
    <row r="3">
      <c r="A3" s="7" t="inlineStr">
        <is>
          <t xml:space="preserve">01/06/2025</t>
        </is>
      </c>
      <c r="B3" s="3" t="inlineStr">
        <is>
          <t xml:space="preserve">מרים כהן</t>
        </is>
      </c>
      <c r="C3" s="7">
        <v>4</v>
      </c>
      <c r="D3" s="5">
        <v>180</v>
      </c>
      <c r="E3" s="5">
        <f>IF(C3="","",C3*D3)</f>
      </c>
      <c r="F3" s="5">
        <v>720</v>
      </c>
      <c r="G3" s="9">
        <f>IF(C3="","",E3-F3)</f>
      </c>
      <c r="H3" s="7" t="inlineStr">
        <is>
          <t xml:space="preserve">ביט</t>
        </is>
      </c>
      <c r="I3" s="3"/>
    </row>
    <row r="4">
      <c r="A4" s="8" t="inlineStr">
        <is>
          <t xml:space="preserve">01/06/2025</t>
        </is>
      </c>
      <c r="B4" s="4" t="inlineStr">
        <is>
          <t xml:space="preserve">רות לוי</t>
        </is>
      </c>
      <c r="C4" s="8">
        <v>3</v>
      </c>
      <c r="D4" s="6">
        <v>180</v>
      </c>
      <c r="E4" s="6">
        <f>IF(C4="","",C4*D4)</f>
      </c>
      <c r="F4" s="6">
        <v>540</v>
      </c>
      <c r="G4" s="10">
        <f>IF(C4="","",E4-F4)</f>
      </c>
      <c r="H4" s="8" t="inlineStr">
        <is>
          <t xml:space="preserve">העברה</t>
        </is>
      </c>
      <c r="I4" s="4"/>
    </row>
    <row r="5">
      <c r="A5" s="7" t="inlineStr">
        <is>
          <t xml:space="preserve">01/06/2025</t>
        </is>
      </c>
      <c r="B5" s="3" t="inlineStr">
        <is>
          <t xml:space="preserve">שושנה ברק</t>
        </is>
      </c>
      <c r="C5" s="7">
        <v>4</v>
      </c>
      <c r="D5" s="5">
        <v>180</v>
      </c>
      <c r="E5" s="5">
        <f>IF(C5="","",C5*D5)</f>
      </c>
      <c r="F5" s="5">
        <v>720</v>
      </c>
      <c r="G5" s="9">
        <f>IF(C5="","",E5-F5)</f>
      </c>
      <c r="H5" s="7" t="inlineStr">
        <is>
          <t xml:space="preserve">מזומן</t>
        </is>
      </c>
      <c r="I5" s="3"/>
    </row>
    <row r="6">
      <c r="A6" s="8" t="inlineStr">
        <is>
          <t xml:space="preserve">01/06/2025</t>
        </is>
      </c>
      <c r="B6" s="4" t="inlineStr">
        <is>
          <t xml:space="preserve">חנה גולן</t>
        </is>
      </c>
      <c r="C6" s="8">
        <v>0</v>
      </c>
      <c r="D6" s="6">
        <v>180</v>
      </c>
      <c r="E6" s="6">
        <f>IF(C6="","",C6*D6)</f>
      </c>
      <c r="F6" s="6">
        <v>0</v>
      </c>
      <c r="G6" s="10">
        <f>IF(C6="","",E6-F6)</f>
      </c>
      <c r="H6" s="8" t="inlineStr">
        <is>
          <t xml:space="preserve">–</t>
        </is>
      </c>
      <c r="I6" s="4" t="inlineStr">
        <is>
          <t xml:space="preserve">בהפסקה</t>
        </is>
      </c>
    </row>
    <row r="7">
      <c r="A7" s="7" t="inlineStr">
        <is>
          <t xml:space="preserve">01/07/2025</t>
        </is>
      </c>
      <c r="B7" s="3" t="inlineStr">
        <is>
          <t xml:space="preserve">מרים כהן</t>
        </is>
      </c>
      <c r="C7" s="7">
        <v>4</v>
      </c>
      <c r="D7" s="5">
        <v>180</v>
      </c>
      <c r="E7" s="5">
        <f>IF(C7="","",C7*D7)</f>
      </c>
      <c r="F7" s="5">
        <v>720</v>
      </c>
      <c r="G7" s="9">
        <f>IF(C7="","",E7-F7)</f>
      </c>
      <c r="H7" s="7" t="inlineStr">
        <is>
          <t xml:space="preserve">ביט</t>
        </is>
      </c>
      <c r="I7" s="3"/>
    </row>
    <row r="8">
      <c r="A8" s="8" t="inlineStr">
        <is>
          <t xml:space="preserve">01/07/2025</t>
        </is>
      </c>
      <c r="B8" s="4" t="inlineStr">
        <is>
          <t xml:space="preserve">רות לוי</t>
        </is>
      </c>
      <c r="C8" s="8">
        <v>3</v>
      </c>
      <c r="D8" s="6">
        <v>180</v>
      </c>
      <c r="E8" s="6">
        <f>IF(C8="","",C8*D8)</f>
      </c>
      <c r="F8" s="6">
        <v>0</v>
      </c>
      <c r="G8" s="10">
        <f>IF(C8="","",E8-F8)</f>
      </c>
      <c r="H8" s="8"/>
      <c r="I8" s="4" t="inlineStr">
        <is>
          <t xml:space="preserve">טרם שולם</t>
        </is>
      </c>
    </row>
    <row r="9">
      <c r="A9" s="7"/>
      <c r="B9" s="3"/>
      <c r="C9" s="7"/>
      <c r="D9" s="5"/>
      <c r="E9" s="5">
        <f>IF(C9="","",C9*D9)</f>
      </c>
      <c r="F9" s="5"/>
      <c r="G9" s="9">
        <f>IF(C9="","",E9-F9)</f>
      </c>
      <c r="H9" s="7"/>
      <c r="I9" s="3"/>
    </row>
    <row r="10">
      <c r="A10" s="8"/>
      <c r="B10" s="4"/>
      <c r="C10" s="8"/>
      <c r="D10" s="6"/>
      <c r="E10" s="6">
        <f>IF(C10="","",C10*D10)</f>
      </c>
      <c r="F10" s="6"/>
      <c r="G10" s="10">
        <f>IF(C10="","",E10-F10)</f>
      </c>
      <c r="H10" s="8"/>
      <c r="I10" s="4"/>
    </row>
    <row r="11">
      <c r="A11" s="7"/>
      <c r="B11" s="3"/>
      <c r="C11" s="7"/>
      <c r="D11" s="5"/>
      <c r="E11" s="5">
        <f>IF(C11="","",C11*D11)</f>
      </c>
      <c r="F11" s="5"/>
      <c r="G11" s="9">
        <f>IF(C11="","",E11-F11)</f>
      </c>
      <c r="H11" s="7"/>
      <c r="I11" s="3"/>
    </row>
    <row r="12">
      <c r="A12" s="8"/>
      <c r="B12" s="4"/>
      <c r="C12" s="8"/>
      <c r="D12" s="6"/>
      <c r="E12" s="6">
        <f>IF(C12="","",C12*D12)</f>
      </c>
      <c r="F12" s="6"/>
      <c r="G12" s="10">
        <f>IF(C12="","",E12-F12)</f>
      </c>
      <c r="H12" s="8"/>
      <c r="I12" s="4"/>
    </row>
    <row r="13">
      <c r="A13" s="7"/>
      <c r="B13" s="3"/>
      <c r="C13" s="7"/>
      <c r="D13" s="5"/>
      <c r="E13" s="5">
        <f>IF(C13="","",C13*D13)</f>
      </c>
      <c r="F13" s="5"/>
      <c r="G13" s="9">
        <f>IF(C13="","",E13-F13)</f>
      </c>
      <c r="H13" s="7"/>
      <c r="I13" s="3"/>
    </row>
    <row r="14">
      <c r="A14" s="8"/>
      <c r="B14" s="4"/>
      <c r="C14" s="8"/>
      <c r="D14" s="6"/>
      <c r="E14" s="6">
        <f>IF(C14="","",C14*D14)</f>
      </c>
      <c r="F14" s="6"/>
      <c r="G14" s="10">
        <f>IF(C14="","",E14-F14)</f>
      </c>
      <c r="H14" s="8"/>
      <c r="I14" s="4"/>
    </row>
    <row r="15">
      <c r="A15" s="7"/>
      <c r="B15" s="3"/>
      <c r="C15" s="7"/>
      <c r="D15" s="5"/>
      <c r="E15" s="5">
        <f>IF(C15="","",C15*D15)</f>
      </c>
      <c r="F15" s="5"/>
      <c r="G15" s="9">
        <f>IF(C15="","",E15-F15)</f>
      </c>
      <c r="H15" s="7"/>
      <c r="I15" s="3"/>
    </row>
    <row r="16">
      <c r="A16" s="8"/>
      <c r="B16" s="4"/>
      <c r="C16" s="8"/>
      <c r="D16" s="6"/>
      <c r="E16" s="6">
        <f>IF(C16="","",C16*D16)</f>
      </c>
      <c r="F16" s="6"/>
      <c r="G16" s="10">
        <f>IF(C16="","",E16-F16)</f>
      </c>
      <c r="H16" s="8"/>
      <c r="I16" s="4"/>
    </row>
    <row r="17">
      <c r="A17" s="7"/>
      <c r="B17" s="3"/>
      <c r="C17" s="7"/>
      <c r="D17" s="5"/>
      <c r="E17" s="5">
        <f>IF(C17="","",C17*D17)</f>
      </c>
      <c r="F17" s="5"/>
      <c r="G17" s="9">
        <f>IF(C17="","",E17-F17)</f>
      </c>
      <c r="H17" s="7"/>
      <c r="I17" s="3"/>
    </row>
    <row r="18">
      <c r="A18" s="8"/>
      <c r="B18" s="4"/>
      <c r="C18" s="8"/>
      <c r="D18" s="6"/>
      <c r="E18" s="6">
        <f>IF(C18="","",C18*D18)</f>
      </c>
      <c r="F18" s="6"/>
      <c r="G18" s="10">
        <f>IF(C18="","",E18-F18)</f>
      </c>
      <c r="H18" s="8"/>
      <c r="I18" s="4"/>
    </row>
    <row r="19">
      <c r="A19" s="7"/>
      <c r="B19" s="3"/>
      <c r="C19" s="7"/>
      <c r="D19" s="5"/>
      <c r="E19" s="5">
        <f>IF(C19="","",C19*D19)</f>
      </c>
      <c r="F19" s="5"/>
      <c r="G19" s="9">
        <f>IF(C19="","",E19-F19)</f>
      </c>
      <c r="H19" s="7"/>
      <c r="I19" s="3"/>
    </row>
    <row r="20">
      <c r="A20" s="8"/>
      <c r="B20" s="4"/>
      <c r="C20" s="8"/>
      <c r="D20" s="6"/>
      <c r="E20" s="6">
        <f>IF(C20="","",C20*D20)</f>
      </c>
      <c r="F20" s="6"/>
      <c r="G20" s="10">
        <f>IF(C20="","",E20-F20)</f>
      </c>
      <c r="H20" s="8"/>
      <c r="I20" s="4"/>
    </row>
    <row r="21">
      <c r="A21" s="7"/>
      <c r="B21" s="3"/>
      <c r="C21" s="7"/>
      <c r="D21" s="5"/>
      <c r="E21" s="5">
        <f>IF(C21="","",C21*D21)</f>
      </c>
      <c r="F21" s="5"/>
      <c r="G21" s="9">
        <f>IF(C21="","",E21-F21)</f>
      </c>
      <c r="H21" s="7"/>
      <c r="I21" s="3"/>
    </row>
    <row r="22">
      <c r="A22" s="8"/>
      <c r="B22" s="4"/>
      <c r="C22" s="8"/>
      <c r="D22" s="6"/>
      <c r="E22" s="6">
        <f>IF(C22="","",C22*D22)</f>
      </c>
      <c r="F22" s="6"/>
      <c r="G22" s="10">
        <f>IF(C22="","",E22-F22)</f>
      </c>
      <c r="H22" s="8"/>
      <c r="I22" s="4"/>
    </row>
    <row r="23">
      <c r="A23" s="7"/>
      <c r="B23" s="3"/>
      <c r="C23" s="7"/>
      <c r="D23" s="5"/>
      <c r="E23" s="5">
        <f>IF(C23="","",C23*D23)</f>
      </c>
      <c r="F23" s="5"/>
      <c r="G23" s="9">
        <f>IF(C23="","",E23-F23)</f>
      </c>
      <c r="H23" s="7"/>
      <c r="I23" s="3"/>
    </row>
    <row r="24">
      <c r="A24" s="8"/>
      <c r="B24" s="4"/>
      <c r="C24" s="8"/>
      <c r="D24" s="6"/>
      <c r="E24" s="6">
        <f>IF(C24="","",C24*D24)</f>
      </c>
      <c r="F24" s="6"/>
      <c r="G24" s="10">
        <f>IF(C24="","",E24-F24)</f>
      </c>
      <c r="H24" s="8"/>
      <c r="I24" s="4"/>
    </row>
    <row r="25">
      <c r="A25" s="7"/>
      <c r="B25" s="3"/>
      <c r="C25" s="7"/>
      <c r="D25" s="5"/>
      <c r="E25" s="5">
        <f>IF(C25="","",C25*D25)</f>
      </c>
      <c r="F25" s="5"/>
      <c r="G25" s="9">
        <f>IF(C25="","",E25-F25)</f>
      </c>
      <c r="H25" s="7"/>
      <c r="I25" s="3"/>
    </row>
    <row r="26">
      <c r="A26" s="8"/>
      <c r="B26" s="4"/>
      <c r="C26" s="8"/>
      <c r="D26" s="6"/>
      <c r="E26" s="6">
        <f>IF(C26="","",C26*D26)</f>
      </c>
      <c r="F26" s="6"/>
      <c r="G26" s="10">
        <f>IF(C26="","",E26-F26)</f>
      </c>
      <c r="H26" s="8"/>
      <c r="I26" s="4"/>
    </row>
    <row r="27">
      <c r="A27" s="7"/>
      <c r="B27" s="3"/>
      <c r="C27" s="7"/>
      <c r="D27" s="5"/>
      <c r="E27" s="5">
        <f>IF(C27="","",C27*D27)</f>
      </c>
      <c r="F27" s="5"/>
      <c r="G27" s="9">
        <f>IF(C27="","",E27-F27)</f>
      </c>
      <c r="H27" s="7"/>
      <c r="I27" s="3"/>
    </row>
    <row r="28">
      <c r="A28" s="8"/>
      <c r="B28" s="4"/>
      <c r="C28" s="8"/>
      <c r="D28" s="6"/>
      <c r="E28" s="6">
        <f>IF(C28="","",C28*D28)</f>
      </c>
      <c r="F28" s="6"/>
      <c r="G28" s="10">
        <f>IF(C28="","",E28-F28)</f>
      </c>
      <c r="H28" s="8"/>
      <c r="I28" s="4"/>
    </row>
    <row r="29">
      <c r="A29" s="7"/>
      <c r="B29" s="3"/>
      <c r="C29" s="7"/>
      <c r="D29" s="5"/>
      <c r="E29" s="5">
        <f>IF(C29="","",C29*D29)</f>
      </c>
      <c r="F29" s="5"/>
      <c r="G29" s="9">
        <f>IF(C29="","",E29-F29)</f>
      </c>
      <c r="H29" s="7"/>
      <c r="I29" s="3"/>
    </row>
    <row r="30">
      <c r="A30" s="8"/>
      <c r="B30" s="4"/>
      <c r="C30" s="8"/>
      <c r="D30" s="6"/>
      <c r="E30" s="6">
        <f>IF(C30="","",C30*D30)</f>
      </c>
      <c r="F30" s="6"/>
      <c r="G30" s="10">
        <f>IF(C30="","",E30-F30)</f>
      </c>
      <c r="H30" s="8"/>
      <c r="I30" s="4"/>
    </row>
    <row r="31">
      <c r="A31" s="7"/>
      <c r="B31" s="3"/>
      <c r="C31" s="7"/>
      <c r="D31" s="5"/>
      <c r="E31" s="5">
        <f>IF(C31="","",C31*D31)</f>
      </c>
      <c r="F31" s="5"/>
      <c r="G31" s="9">
        <f>IF(C31="","",E31-F31)</f>
      </c>
      <c r="H31" s="7"/>
      <c r="I31" s="3"/>
    </row>
    <row r="32">
      <c r="A32" s="8"/>
      <c r="B32" s="4"/>
      <c r="C32" s="8"/>
      <c r="D32" s="6"/>
      <c r="E32" s="6">
        <f>IF(C32="","",C32*D32)</f>
      </c>
      <c r="F32" s="6"/>
      <c r="G32" s="10">
        <f>IF(C32="","",E32-F32)</f>
      </c>
      <c r="H32" s="8"/>
      <c r="I32" s="4"/>
    </row>
    <row r="33">
      <c r="A33" s="7"/>
      <c r="B33" s="3"/>
      <c r="C33" s="7"/>
      <c r="D33" s="5"/>
      <c r="E33" s="5">
        <f>IF(C33="","",C33*D33)</f>
      </c>
      <c r="F33" s="5"/>
      <c r="G33" s="9">
        <f>IF(C33="","",E33-F33)</f>
      </c>
      <c r="H33" s="7"/>
      <c r="I33" s="3"/>
    </row>
    <row r="34">
      <c r="A34" s="8"/>
      <c r="B34" s="4"/>
      <c r="C34" s="8"/>
      <c r="D34" s="6"/>
      <c r="E34" s="6">
        <f>IF(C34="","",C34*D34)</f>
      </c>
      <c r="F34" s="6"/>
      <c r="G34" s="10">
        <f>IF(C34="","",E34-F34)</f>
      </c>
      <c r="H34" s="8"/>
      <c r="I34" s="4"/>
    </row>
    <row r="35">
      <c r="A35" s="7"/>
      <c r="B35" s="3"/>
      <c r="C35" s="7"/>
      <c r="D35" s="5"/>
      <c r="E35" s="5">
        <f>IF(C35="","",C35*D35)</f>
      </c>
      <c r="F35" s="5"/>
      <c r="G35" s="9">
        <f>IF(C35="","",E35-F35)</f>
      </c>
      <c r="H35" s="7"/>
      <c r="I35" s="3"/>
    </row>
    <row r="36">
      <c r="A36" s="8"/>
      <c r="B36" s="4"/>
      <c r="C36" s="8"/>
      <c r="D36" s="6"/>
      <c r="E36" s="6">
        <f>IF(C36="","",C36*D36)</f>
      </c>
      <c r="F36" s="6"/>
      <c r="G36" s="10">
        <f>IF(C36="","",E36-F36)</f>
      </c>
      <c r="H36" s="8"/>
      <c r="I36" s="4"/>
    </row>
    <row r="37">
      <c r="A37" s="7"/>
      <c r="B37" s="3"/>
      <c r="C37" s="7"/>
      <c r="D37" s="5"/>
      <c r="E37" s="5">
        <f>IF(C37="","",C37*D37)</f>
      </c>
      <c r="F37" s="5"/>
      <c r="G37" s="9">
        <f>IF(C37="","",E37-F37)</f>
      </c>
      <c r="H37" s="7"/>
      <c r="I37" s="3"/>
    </row>
    <row r="38">
      <c r="A38" s="8"/>
      <c r="B38" s="4"/>
      <c r="C38" s="8"/>
      <c r="D38" s="6"/>
      <c r="E38" s="6">
        <f>IF(C38="","",C38*D38)</f>
      </c>
      <c r="F38" s="6"/>
      <c r="G38" s="10">
        <f>IF(C38="","",E38-F38)</f>
      </c>
      <c r="H38" s="8"/>
      <c r="I38" s="4"/>
    </row>
    <row r="39">
      <c r="A39" s="7"/>
      <c r="B39" s="3"/>
      <c r="C39" s="7"/>
      <c r="D39" s="5"/>
      <c r="E39" s="5">
        <f>IF(C39="","",C39*D39)</f>
      </c>
      <c r="F39" s="5"/>
      <c r="G39" s="9">
        <f>IF(C39="","",E39-F39)</f>
      </c>
      <c r="H39" s="7"/>
      <c r="I39" s="3"/>
    </row>
    <row r="40">
      <c r="A40" s="8"/>
      <c r="B40" s="4"/>
      <c r="C40" s="8"/>
      <c r="D40" s="6"/>
      <c r="E40" s="6">
        <f>IF(C40="","",C40*D40)</f>
      </c>
      <c r="F40" s="6"/>
      <c r="G40" s="10">
        <f>IF(C40="","",E40-F40)</f>
      </c>
      <c r="H40" s="8"/>
      <c r="I40" s="4"/>
    </row>
    <row r="41">
      <c r="A41" s="7"/>
      <c r="B41" s="3"/>
      <c r="C41" s="7"/>
      <c r="D41" s="5"/>
      <c r="E41" s="5">
        <f>IF(C41="","",C41*D41)</f>
      </c>
      <c r="F41" s="5"/>
      <c r="G41" s="9">
        <f>IF(C41="","",E41-F41)</f>
      </c>
      <c r="H41" s="7"/>
      <c r="I41" s="3"/>
    </row>
    <row r="42">
      <c r="A42" s="8"/>
      <c r="B42" s="4"/>
      <c r="C42" s="8"/>
      <c r="D42" s="6"/>
      <c r="E42" s="6">
        <f>IF(C42="","",C42*D42)</f>
      </c>
      <c r="F42" s="6"/>
      <c r="G42" s="10">
        <f>IF(C42="","",E42-F42)</f>
      </c>
      <c r="H42" s="8"/>
      <c r="I42" s="4"/>
    </row>
    <row r="43">
      <c r="A43" s="7"/>
      <c r="B43" s="3"/>
      <c r="C43" s="7"/>
      <c r="D43" s="5"/>
      <c r="E43" s="5">
        <f>IF(C43="","",C43*D43)</f>
      </c>
      <c r="F43" s="5"/>
      <c r="G43" s="9">
        <f>IF(C43="","",E43-F43)</f>
      </c>
      <c r="H43" s="7"/>
      <c r="I43" s="3"/>
    </row>
    <row r="44">
      <c r="A44" s="8"/>
      <c r="B44" s="4"/>
      <c r="C44" s="8"/>
      <c r="D44" s="6"/>
      <c r="E44" s="6">
        <f>IF(C44="","",C44*D44)</f>
      </c>
      <c r="F44" s="6"/>
      <c r="G44" s="10">
        <f>IF(C44="","",E44-F44)</f>
      </c>
      <c r="H44" s="8"/>
      <c r="I44" s="4"/>
    </row>
    <row r="45">
      <c r="A45" s="7"/>
      <c r="B45" s="3"/>
      <c r="C45" s="7"/>
      <c r="D45" s="5"/>
      <c r="E45" s="5">
        <f>IF(C45="","",C45*D45)</f>
      </c>
      <c r="F45" s="5"/>
      <c r="G45" s="9">
        <f>IF(C45="","",E45-F45)</f>
      </c>
      <c r="H45" s="7"/>
      <c r="I45" s="3"/>
    </row>
    <row r="46">
      <c r="A46" s="8"/>
      <c r="B46" s="4"/>
      <c r="C46" s="8"/>
      <c r="D46" s="6"/>
      <c r="E46" s="6">
        <f>IF(C46="","",C46*D46)</f>
      </c>
      <c r="F46" s="6"/>
      <c r="G46" s="10">
        <f>IF(C46="","",E46-F46)</f>
      </c>
      <c r="H46" s="8"/>
      <c r="I46" s="4"/>
    </row>
    <row r="47">
      <c r="A47" s="7"/>
      <c r="B47" s="3"/>
      <c r="C47" s="7"/>
      <c r="D47" s="5"/>
      <c r="E47" s="5">
        <f>IF(C47="","",C47*D47)</f>
      </c>
      <c r="F47" s="5"/>
      <c r="G47" s="9">
        <f>IF(C47="","",E47-F47)</f>
      </c>
      <c r="H47" s="7"/>
      <c r="I47" s="3"/>
    </row>
    <row r="48">
      <c r="A48" s="8"/>
      <c r="B48" s="4"/>
      <c r="C48" s="8"/>
      <c r="D48" s="6"/>
      <c r="E48" s="6">
        <f>IF(C48="","",C48*D48)</f>
      </c>
      <c r="F48" s="6"/>
      <c r="G48" s="10">
        <f>IF(C48="","",E48-F48)</f>
      </c>
      <c r="H48" s="8"/>
      <c r="I48" s="4"/>
    </row>
    <row r="49">
      <c r="A49" s="7"/>
      <c r="B49" s="3"/>
      <c r="C49" s="7"/>
      <c r="D49" s="5"/>
      <c r="E49" s="5">
        <f>IF(C49="","",C49*D49)</f>
      </c>
      <c r="F49" s="5"/>
      <c r="G49" s="9">
        <f>IF(C49="","",E49-F49)</f>
      </c>
      <c r="H49" s="7"/>
      <c r="I49" s="3"/>
    </row>
    <row r="50">
      <c r="A50" s="8"/>
      <c r="B50" s="4"/>
      <c r="C50" s="8"/>
      <c r="D50" s="6"/>
      <c r="E50" s="6">
        <f>IF(C50="","",C50*D50)</f>
      </c>
      <c r="F50" s="6"/>
      <c r="G50" s="10">
        <f>IF(C50="","",E50-F50)</f>
      </c>
      <c r="H50" s="8"/>
      <c r="I50" s="4"/>
    </row>
    <row r="51">
      <c r="A51" s="7"/>
      <c r="B51" s="3"/>
      <c r="C51" s="7"/>
      <c r="D51" s="5"/>
      <c r="E51" s="5">
        <f>IF(C51="","",C51*D51)</f>
      </c>
      <c r="F51" s="5"/>
      <c r="G51" s="9">
        <f>IF(C51="","",E51-F51)</f>
      </c>
      <c r="H51" s="7"/>
      <c r="I51" s="3"/>
    </row>
    <row r="52">
      <c r="A52" s="8"/>
      <c r="B52" s="4"/>
      <c r="C52" s="8"/>
      <c r="D52" s="6"/>
      <c r="E52" s="6">
        <f>IF(C52="","",C52*D52)</f>
      </c>
      <c r="F52" s="6"/>
      <c r="G52" s="10">
        <f>IF(C52="","",E52-F52)</f>
      </c>
      <c r="H52" s="8"/>
      <c r="I52" s="4"/>
    </row>
    <row r="53">
      <c r="A53" s="7"/>
      <c r="B53" s="3"/>
      <c r="C53" s="7"/>
      <c r="D53" s="5"/>
      <c r="E53" s="5">
        <f>IF(C53="","",C53*D53)</f>
      </c>
      <c r="F53" s="5"/>
      <c r="G53" s="9">
        <f>IF(C53="","",E53-F53)</f>
      </c>
      <c r="H53" s="7"/>
      <c r="I53" s="3"/>
    </row>
    <row r="54">
      <c r="A54" s="8"/>
      <c r="B54" s="4"/>
      <c r="C54" s="8"/>
      <c r="D54" s="6"/>
      <c r="E54" s="6">
        <f>IF(C54="","",C54*D54)</f>
      </c>
      <c r="F54" s="6"/>
      <c r="G54" s="10">
        <f>IF(C54="","",E54-F54)</f>
      </c>
      <c r="H54" s="8"/>
      <c r="I54" s="4"/>
    </row>
    <row r="55">
      <c r="A55" s="7"/>
      <c r="B55" s="3"/>
      <c r="C55" s="7"/>
      <c r="D55" s="5"/>
      <c r="E55" s="5">
        <f>IF(C55="","",C55*D55)</f>
      </c>
      <c r="F55" s="5"/>
      <c r="G55" s="9">
        <f>IF(C55="","",E55-F55)</f>
      </c>
      <c r="H55" s="7"/>
      <c r="I55" s="3"/>
    </row>
    <row r="56">
      <c r="A56" s="8"/>
      <c r="B56" s="4"/>
      <c r="C56" s="8"/>
      <c r="D56" s="6"/>
      <c r="E56" s="6">
        <f>IF(C56="","",C56*D56)</f>
      </c>
      <c r="F56" s="6"/>
      <c r="G56" s="10">
        <f>IF(C56="","",E56-F56)</f>
      </c>
      <c r="H56" s="8"/>
      <c r="I56" s="4"/>
    </row>
    <row r="57">
      <c r="A57" s="7"/>
      <c r="B57" s="3"/>
      <c r="C57" s="7"/>
      <c r="D57" s="5"/>
      <c r="E57" s="5">
        <f>IF(C57="","",C57*D57)</f>
      </c>
      <c r="F57" s="5"/>
      <c r="G57" s="9">
        <f>IF(C57="","",E57-F57)</f>
      </c>
      <c r="H57" s="7"/>
      <c r="I57" s="3"/>
    </row>
    <row r="58">
      <c r="A58" s="8"/>
      <c r="B58" s="4"/>
      <c r="C58" s="8"/>
      <c r="D58" s="6"/>
      <c r="E58" s="6">
        <f>IF(C58="","",C58*D58)</f>
      </c>
      <c r="F58" s="6"/>
      <c r="G58" s="10">
        <f>IF(C58="","",E58-F58)</f>
      </c>
      <c r="H58" s="8"/>
      <c r="I58" s="4"/>
    </row>
    <row r="59">
      <c r="A59" s="7"/>
      <c r="B59" s="3"/>
      <c r="C59" s="7"/>
      <c r="D59" s="5"/>
      <c r="E59" s="5">
        <f>IF(C59="","",C59*D59)</f>
      </c>
      <c r="F59" s="5"/>
      <c r="G59" s="9">
        <f>IF(C59="","",E59-F59)</f>
      </c>
      <c r="H59" s="7"/>
      <c r="I59" s="3"/>
    </row>
    <row r="60">
      <c r="A60" s="8"/>
      <c r="B60" s="4"/>
      <c r="C60" s="8"/>
      <c r="D60" s="6"/>
      <c r="E60" s="6">
        <f>IF(C60="","",C60*D60)</f>
      </c>
      <c r="F60" s="6"/>
      <c r="G60" s="10">
        <f>IF(C60="","",E60-F60)</f>
      </c>
      <c r="H60" s="8"/>
      <c r="I60" s="4"/>
    </row>
    <row r="61">
      <c r="A61" s="7"/>
      <c r="B61" s="3"/>
      <c r="C61" s="7"/>
      <c r="D61" s="5"/>
      <c r="E61" s="5">
        <f>IF(C61="","",C61*D61)</f>
      </c>
      <c r="F61" s="5"/>
      <c r="G61" s="9">
        <f>IF(C61="","",E61-F61)</f>
      </c>
      <c r="H61" s="7"/>
      <c r="I61" s="3"/>
    </row>
    <row r="62">
      <c r="A62" s="8"/>
      <c r="B62" s="4"/>
      <c r="C62" s="8"/>
      <c r="D62" s="6"/>
      <c r="E62" s="6">
        <f>IF(C62="","",C62*D62)</f>
      </c>
      <c r="F62" s="6"/>
      <c r="G62" s="10">
        <f>IF(C62="","",E62-F62)</f>
      </c>
      <c r="H62" s="8"/>
      <c r="I62" s="4"/>
    </row>
    <row r="63">
      <c r="A63" s="7"/>
      <c r="B63" s="3"/>
      <c r="C63" s="7"/>
      <c r="D63" s="5"/>
      <c r="E63" s="5">
        <f>IF(C63="","",C63*D63)</f>
      </c>
      <c r="F63" s="5"/>
      <c r="G63" s="9">
        <f>IF(C63="","",E63-F63)</f>
      </c>
      <c r="H63" s="7"/>
      <c r="I63" s="3"/>
    </row>
    <row r="64">
      <c r="A64" s="8"/>
      <c r="B64" s="4"/>
      <c r="C64" s="8"/>
      <c r="D64" s="6"/>
      <c r="E64" s="6">
        <f>IF(C64="","",C64*D64)</f>
      </c>
      <c r="F64" s="6"/>
      <c r="G64" s="10">
        <f>IF(C64="","",E64-F64)</f>
      </c>
      <c r="H64" s="8"/>
      <c r="I64" s="4"/>
    </row>
    <row r="65">
      <c r="A65" s="7"/>
      <c r="B65" s="3"/>
      <c r="C65" s="7"/>
      <c r="D65" s="5"/>
      <c r="E65" s="5">
        <f>IF(C65="","",C65*D65)</f>
      </c>
      <c r="F65" s="5"/>
      <c r="G65" s="9">
        <f>IF(C65="","",E65-F65)</f>
      </c>
      <c r="H65" s="7"/>
      <c r="I65" s="3"/>
    </row>
    <row r="66">
      <c r="A66" s="8"/>
      <c r="B66" s="4"/>
      <c r="C66" s="8"/>
      <c r="D66" s="6"/>
      <c r="E66" s="6">
        <f>IF(C66="","",C66*D66)</f>
      </c>
      <c r="F66" s="6"/>
      <c r="G66" s="10">
        <f>IF(C66="","",E66-F66)</f>
      </c>
      <c r="H66" s="8"/>
      <c r="I66" s="4"/>
    </row>
    <row r="67">
      <c r="A67" s="7"/>
      <c r="B67" s="3"/>
      <c r="C67" s="7"/>
      <c r="D67" s="5"/>
      <c r="E67" s="5">
        <f>IF(C67="","",C67*D67)</f>
      </c>
      <c r="F67" s="5"/>
      <c r="G67" s="9">
        <f>IF(C67="","",E67-F67)</f>
      </c>
      <c r="H67" s="7"/>
      <c r="I67" s="3"/>
    </row>
    <row r="68">
      <c r="A68" s="8"/>
      <c r="B68" s="4"/>
      <c r="C68" s="8"/>
      <c r="D68" s="6"/>
      <c r="E68" s="6">
        <f>IF(C68="","",C68*D68)</f>
      </c>
      <c r="F68" s="6"/>
      <c r="G68" s="10">
        <f>IF(C68="","",E68-F68)</f>
      </c>
      <c r="H68" s="8"/>
      <c r="I68" s="4"/>
    </row>
    <row r="69">
      <c r="A69" s="7"/>
      <c r="B69" s="3"/>
      <c r="C69" s="7"/>
      <c r="D69" s="5"/>
      <c r="E69" s="5">
        <f>IF(C69="","",C69*D69)</f>
      </c>
      <c r="F69" s="5"/>
      <c r="G69" s="9">
        <f>IF(C69="","",E69-F69)</f>
      </c>
      <c r="H69" s="7"/>
      <c r="I69" s="3"/>
    </row>
    <row r="70">
      <c r="A70" s="8"/>
      <c r="B70" s="4"/>
      <c r="C70" s="8"/>
      <c r="D70" s="6"/>
      <c r="E70" s="6">
        <f>IF(C70="","",C70*D70)</f>
      </c>
      <c r="F70" s="6"/>
      <c r="G70" s="10">
        <f>IF(C70="","",E70-F70)</f>
      </c>
      <c r="H70" s="8"/>
      <c r="I70" s="4"/>
    </row>
    <row r="71">
      <c r="A71" s="7"/>
      <c r="B71" s="3"/>
      <c r="C71" s="7"/>
      <c r="D71" s="5"/>
      <c r="E71" s="5">
        <f>IF(C71="","",C71*D71)</f>
      </c>
      <c r="F71" s="5"/>
      <c r="G71" s="9">
        <f>IF(C71="","",E71-F71)</f>
      </c>
      <c r="H71" s="7"/>
      <c r="I71" s="3"/>
    </row>
    <row r="72">
      <c r="A72" s="8"/>
      <c r="B72" s="4"/>
      <c r="C72" s="8"/>
      <c r="D72" s="6"/>
      <c r="E72" s="6">
        <f>IF(C72="","",C72*D72)</f>
      </c>
      <c r="F72" s="6"/>
      <c r="G72" s="10">
        <f>IF(C72="","",E72-F72)</f>
      </c>
      <c r="H72" s="8"/>
      <c r="I72" s="4"/>
    </row>
    <row r="73">
      <c r="A73" s="7"/>
      <c r="B73" s="3"/>
      <c r="C73" s="7"/>
      <c r="D73" s="5"/>
      <c r="E73" s="5">
        <f>IF(C73="","",C73*D73)</f>
      </c>
      <c r="F73" s="5"/>
      <c r="G73" s="9">
        <f>IF(C73="","",E73-F73)</f>
      </c>
      <c r="H73" s="7"/>
      <c r="I73" s="3"/>
    </row>
    <row r="74">
      <c r="A74" s="8"/>
      <c r="B74" s="4"/>
      <c r="C74" s="8"/>
      <c r="D74" s="6"/>
      <c r="E74" s="6">
        <f>IF(C74="","",C74*D74)</f>
      </c>
      <c r="F74" s="6"/>
      <c r="G74" s="10">
        <f>IF(C74="","",E74-F74)</f>
      </c>
      <c r="H74" s="8"/>
      <c r="I74" s="4"/>
    </row>
    <row r="75">
      <c r="A75" s="7"/>
      <c r="B75" s="3"/>
      <c r="C75" s="7"/>
      <c r="D75" s="5"/>
      <c r="E75" s="5">
        <f>IF(C75="","",C75*D75)</f>
      </c>
      <c r="F75" s="5"/>
      <c r="G75" s="9">
        <f>IF(C75="","",E75-F75)</f>
      </c>
      <c r="H75" s="7"/>
      <c r="I75" s="3"/>
    </row>
    <row r="76">
      <c r="A76" s="8"/>
      <c r="B76" s="4"/>
      <c r="C76" s="8"/>
      <c r="D76" s="6"/>
      <c r="E76" s="6">
        <f>IF(C76="","",C76*D76)</f>
      </c>
      <c r="F76" s="6"/>
      <c r="G76" s="10">
        <f>IF(C76="","",E76-F76)</f>
      </c>
      <c r="H76" s="8"/>
      <c r="I76" s="4"/>
    </row>
    <row r="77">
      <c r="A77" s="7"/>
      <c r="B77" s="3"/>
      <c r="C77" s="7"/>
      <c r="D77" s="5"/>
      <c r="E77" s="5">
        <f>IF(C77="","",C77*D77)</f>
      </c>
      <c r="F77" s="5"/>
      <c r="G77" s="9">
        <f>IF(C77="","",E77-F77)</f>
      </c>
      <c r="H77" s="7"/>
      <c r="I77" s="3"/>
    </row>
    <row r="78">
      <c r="A78" s="8"/>
      <c r="B78" s="4"/>
      <c r="C78" s="8"/>
      <c r="D78" s="6"/>
      <c r="E78" s="6">
        <f>IF(C78="","",C78*D78)</f>
      </c>
      <c r="F78" s="6"/>
      <c r="G78" s="10">
        <f>IF(C78="","",E78-F78)</f>
      </c>
      <c r="H78" s="8"/>
      <c r="I78" s="4"/>
    </row>
    <row r="79">
      <c r="A79" s="7"/>
      <c r="B79" s="3"/>
      <c r="C79" s="7"/>
      <c r="D79" s="5"/>
      <c r="E79" s="5">
        <f>IF(C79="","",C79*D79)</f>
      </c>
      <c r="F79" s="5"/>
      <c r="G79" s="9">
        <f>IF(C79="","",E79-F79)</f>
      </c>
      <c r="H79" s="7"/>
      <c r="I79" s="3"/>
    </row>
    <row r="80">
      <c r="A80" s="8"/>
      <c r="B80" s="4"/>
      <c r="C80" s="8"/>
      <c r="D80" s="6"/>
      <c r="E80" s="6">
        <f>IF(C80="","",C80*D80)</f>
      </c>
      <c r="F80" s="6"/>
      <c r="G80" s="10">
        <f>IF(C80="","",E80-F80)</f>
      </c>
      <c r="H80" s="8"/>
      <c r="I80" s="4"/>
    </row>
    <row r="81">
      <c r="A81" s="7"/>
      <c r="B81" s="3"/>
      <c r="C81" s="7"/>
      <c r="D81" s="5"/>
      <c r="E81" s="5">
        <f>IF(C81="","",C81*D81)</f>
      </c>
      <c r="F81" s="5"/>
      <c r="G81" s="9">
        <f>IF(C81="","",E81-F81)</f>
      </c>
      <c r="H81" s="7"/>
      <c r="I81" s="3"/>
    </row>
    <row r="82">
      <c r="A82" s="8"/>
      <c r="B82" s="4"/>
      <c r="C82" s="8"/>
      <c r="D82" s="6"/>
      <c r="E82" s="6">
        <f>IF(C82="","",C82*D82)</f>
      </c>
      <c r="F82" s="6"/>
      <c r="G82" s="10">
        <f>IF(C82="","",E82-F82)</f>
      </c>
      <c r="H82" s="8"/>
      <c r="I82" s="4"/>
    </row>
    <row r="83">
      <c r="A83" s="7"/>
      <c r="B83" s="3"/>
      <c r="C83" s="7"/>
      <c r="D83" s="5"/>
      <c r="E83" s="5">
        <f>IF(C83="","",C83*D83)</f>
      </c>
      <c r="F83" s="5"/>
      <c r="G83" s="9">
        <f>IF(C83="","",E83-F83)</f>
      </c>
      <c r="H83" s="7"/>
      <c r="I83" s="3"/>
    </row>
    <row r="84">
      <c r="A84" s="8"/>
      <c r="B84" s="4"/>
      <c r="C84" s="8"/>
      <c r="D84" s="6"/>
      <c r="E84" s="6">
        <f>IF(C84="","",C84*D84)</f>
      </c>
      <c r="F84" s="6"/>
      <c r="G84" s="10">
        <f>IF(C84="","",E84-F84)</f>
      </c>
      <c r="H84" s="8"/>
      <c r="I84" s="4"/>
    </row>
    <row r="85">
      <c r="A85" s="7"/>
      <c r="B85" s="3"/>
      <c r="C85" s="7"/>
      <c r="D85" s="5"/>
      <c r="E85" s="5">
        <f>IF(C85="","",C85*D85)</f>
      </c>
      <c r="F85" s="5"/>
      <c r="G85" s="9">
        <f>IF(C85="","",E85-F85)</f>
      </c>
      <c r="H85" s="7"/>
      <c r="I85" s="3"/>
    </row>
    <row r="86">
      <c r="A86" s="8"/>
      <c r="B86" s="4"/>
      <c r="C86" s="8"/>
      <c r="D86" s="6"/>
      <c r="E86" s="6">
        <f>IF(C86="","",C86*D86)</f>
      </c>
      <c r="F86" s="6"/>
      <c r="G86" s="10">
        <f>IF(C86="","",E86-F86)</f>
      </c>
      <c r="H86" s="8"/>
      <c r="I86" s="4"/>
    </row>
    <row r="87">
      <c r="A87" s="7"/>
      <c r="B87" s="3"/>
      <c r="C87" s="7"/>
      <c r="D87" s="5"/>
      <c r="E87" s="5">
        <f>IF(C87="","",C87*D87)</f>
      </c>
      <c r="F87" s="5"/>
      <c r="G87" s="9">
        <f>IF(C87="","",E87-F87)</f>
      </c>
      <c r="H87" s="7"/>
      <c r="I87" s="3"/>
    </row>
    <row r="88">
      <c r="A88" s="8"/>
      <c r="B88" s="4"/>
      <c r="C88" s="8"/>
      <c r="D88" s="6"/>
      <c r="E88" s="6">
        <f>IF(C88="","",C88*D88)</f>
      </c>
      <c r="F88" s="6"/>
      <c r="G88" s="10">
        <f>IF(C88="","",E88-F88)</f>
      </c>
      <c r="H88" s="8"/>
      <c r="I88" s="4"/>
    </row>
    <row r="89">
      <c r="A89" s="7"/>
      <c r="B89" s="3"/>
      <c r="C89" s="7"/>
      <c r="D89" s="5"/>
      <c r="E89" s="5">
        <f>IF(C89="","",C89*D89)</f>
      </c>
      <c r="F89" s="5"/>
      <c r="G89" s="9">
        <f>IF(C89="","",E89-F89)</f>
      </c>
      <c r="H89" s="7"/>
      <c r="I89" s="3"/>
    </row>
    <row r="90">
      <c r="A90" s="8"/>
      <c r="B90" s="4"/>
      <c r="C90" s="8"/>
      <c r="D90" s="6"/>
      <c r="E90" s="6">
        <f>IF(C90="","",C90*D90)</f>
      </c>
      <c r="F90" s="6"/>
      <c r="G90" s="10">
        <f>IF(C90="","",E90-F90)</f>
      </c>
      <c r="H90" s="8"/>
      <c r="I90" s="4"/>
    </row>
    <row r="91">
      <c r="A91" s="7"/>
      <c r="B91" s="3"/>
      <c r="C91" s="7"/>
      <c r="D91" s="5"/>
      <c r="E91" s="5">
        <f>IF(C91="","",C91*D91)</f>
      </c>
      <c r="F91" s="5"/>
      <c r="G91" s="9">
        <f>IF(C91="","",E91-F91)</f>
      </c>
      <c r="H91" s="7"/>
      <c r="I91" s="3"/>
    </row>
    <row r="92">
      <c r="A92" s="8"/>
      <c r="B92" s="4"/>
      <c r="C92" s="8"/>
      <c r="D92" s="6"/>
      <c r="E92" s="6">
        <f>IF(C92="","",C92*D92)</f>
      </c>
      <c r="F92" s="6"/>
      <c r="G92" s="10">
        <f>IF(C92="","",E92-F92)</f>
      </c>
      <c r="H92" s="8"/>
      <c r="I92" s="4"/>
    </row>
    <row r="93">
      <c r="A93" s="7"/>
      <c r="B93" s="3"/>
      <c r="C93" s="7"/>
      <c r="D93" s="5"/>
      <c r="E93" s="5">
        <f>IF(C93="","",C93*D93)</f>
      </c>
      <c r="F93" s="5"/>
      <c r="G93" s="9">
        <f>IF(C93="","",E93-F93)</f>
      </c>
      <c r="H93" s="7"/>
      <c r="I93" s="3"/>
    </row>
    <row r="94">
      <c r="A94" s="8"/>
      <c r="B94" s="4"/>
      <c r="C94" s="8"/>
      <c r="D94" s="6"/>
      <c r="E94" s="6">
        <f>IF(C94="","",C94*D94)</f>
      </c>
      <c r="F94" s="6"/>
      <c r="G94" s="10">
        <f>IF(C94="","",E94-F94)</f>
      </c>
      <c r="H94" s="8"/>
      <c r="I94" s="4"/>
    </row>
    <row r="95">
      <c r="A95" s="7"/>
      <c r="B95" s="3"/>
      <c r="C95" s="7"/>
      <c r="D95" s="5"/>
      <c r="E95" s="5">
        <f>IF(C95="","",C95*D95)</f>
      </c>
      <c r="F95" s="5"/>
      <c r="G95" s="9">
        <f>IF(C95="","",E95-F95)</f>
      </c>
      <c r="H95" s="7"/>
      <c r="I95" s="3"/>
    </row>
    <row r="96">
      <c r="A96" s="8"/>
      <c r="B96" s="4"/>
      <c r="C96" s="8"/>
      <c r="D96" s="6"/>
      <c r="E96" s="6">
        <f>IF(C96="","",C96*D96)</f>
      </c>
      <c r="F96" s="6"/>
      <c r="G96" s="10">
        <f>IF(C96="","",E96-F96)</f>
      </c>
      <c r="H96" s="8"/>
      <c r="I96" s="4"/>
    </row>
    <row r="97">
      <c r="A97" s="7"/>
      <c r="B97" s="3"/>
      <c r="C97" s="7"/>
      <c r="D97" s="5"/>
      <c r="E97" s="5">
        <f>IF(C97="","",C97*D97)</f>
      </c>
      <c r="F97" s="5"/>
      <c r="G97" s="9">
        <f>IF(C97="","",E97-F97)</f>
      </c>
      <c r="H97" s="7"/>
      <c r="I97" s="3"/>
    </row>
    <row r="98">
      <c r="A98" s="8"/>
      <c r="B98" s="4"/>
      <c r="C98" s="8"/>
      <c r="D98" s="6"/>
      <c r="E98" s="6">
        <f>IF(C98="","",C98*D98)</f>
      </c>
      <c r="F98" s="6"/>
      <c r="G98" s="10">
        <f>IF(C98="","",E98-F98)</f>
      </c>
      <c r="H98" s="8"/>
      <c r="I98" s="4"/>
    </row>
    <row r="99">
      <c r="A99" s="7"/>
      <c r="B99" s="3"/>
      <c r="C99" s="7"/>
      <c r="D99" s="5"/>
      <c r="E99" s="5">
        <f>IF(C99="","",C99*D99)</f>
      </c>
      <c r="F99" s="5"/>
      <c r="G99" s="9">
        <f>IF(C99="","",E99-F99)</f>
      </c>
      <c r="H99" s="7"/>
      <c r="I99" s="3"/>
    </row>
    <row r="100">
      <c r="A100" s="8"/>
      <c r="B100" s="4"/>
      <c r="C100" s="8"/>
      <c r="D100" s="6"/>
      <c r="E100" s="6">
        <f>IF(C100="","",C100*D100)</f>
      </c>
      <c r="F100" s="6"/>
      <c r="G100" s="10">
        <f>IF(C100="","",E100-F100)</f>
      </c>
      <c r="H100" s="8"/>
      <c r="I100" s="4"/>
    </row>
    <row r="101">
      <c r="A101" s="7"/>
      <c r="B101" s="3"/>
      <c r="C101" s="7"/>
      <c r="D101" s="5"/>
      <c r="E101" s="5">
        <f>IF(C101="","",C101*D101)</f>
      </c>
      <c r="F101" s="5"/>
      <c r="G101" s="9">
        <f>IF(C101="","",E101-F101)</f>
      </c>
      <c r="H101" s="7"/>
      <c r="I101" s="3"/>
    </row>
    <row r="102">
      <c r="A102" s="8"/>
      <c r="B102" s="4"/>
      <c r="C102" s="8"/>
      <c r="D102" s="6"/>
      <c r="E102" s="6">
        <f>IF(C102="","",C102*D102)</f>
      </c>
      <c r="F102" s="6"/>
      <c r="G102" s="10">
        <f>IF(C102="","",E102-F102)</f>
      </c>
      <c r="H102" s="8"/>
      <c r="I102" s="4"/>
    </row>
    <row r="103">
      <c r="A103" s="7"/>
      <c r="B103" s="3"/>
      <c r="C103" s="7"/>
      <c r="D103" s="5"/>
      <c r="E103" s="5">
        <f>IF(C103="","",C103*D103)</f>
      </c>
      <c r="F103" s="5"/>
      <c r="G103" s="9">
        <f>IF(C103="","",E103-F103)</f>
      </c>
      <c r="H103" s="7"/>
      <c r="I103" s="3"/>
    </row>
    <row r="104">
      <c r="A104" s="8"/>
      <c r="B104" s="4"/>
      <c r="C104" s="8"/>
      <c r="D104" s="6"/>
      <c r="E104" s="6">
        <f>IF(C104="","",C104*D104)</f>
      </c>
      <c r="F104" s="6"/>
      <c r="G104" s="10">
        <f>IF(C104="","",E104-F104)</f>
      </c>
      <c r="H104" s="8"/>
      <c r="I104" s="4"/>
    </row>
    <row r="105">
      <c r="A105" s="7"/>
      <c r="B105" s="3"/>
      <c r="C105" s="7"/>
      <c r="D105" s="5"/>
      <c r="E105" s="5">
        <f>IF(C105="","",C105*D105)</f>
      </c>
      <c r="F105" s="5"/>
      <c r="G105" s="9">
        <f>IF(C105="","",E105-F105)</f>
      </c>
      <c r="H105" s="7"/>
      <c r="I105" s="3"/>
    </row>
    <row r="106">
      <c r="A106" s="8"/>
      <c r="B106" s="4"/>
      <c r="C106" s="8"/>
      <c r="D106" s="6"/>
      <c r="E106" s="6">
        <f>IF(C106="","",C106*D106)</f>
      </c>
      <c r="F106" s="6"/>
      <c r="G106" s="10">
        <f>IF(C106="","",E106-F106)</f>
      </c>
      <c r="H106" s="8"/>
      <c r="I106" s="4"/>
    </row>
    <row r="107">
      <c r="A107" s="7"/>
      <c r="B107" s="3"/>
      <c r="C107" s="7"/>
      <c r="D107" s="5"/>
      <c r="E107" s="5">
        <f>IF(C107="","",C107*D107)</f>
      </c>
      <c r="F107" s="5"/>
      <c r="G107" s="9">
        <f>IF(C107="","",E107-F107)</f>
      </c>
      <c r="H107" s="7"/>
      <c r="I107" s="3"/>
    </row>
    <row r="108">
      <c r="A108" s="8"/>
      <c r="B108" s="4"/>
      <c r="C108" s="8"/>
      <c r="D108" s="6"/>
      <c r="E108" s="6">
        <f>IF(C108="","",C108*D108)</f>
      </c>
      <c r="F108" s="6"/>
      <c r="G108" s="10">
        <f>IF(C108="","",E108-F108)</f>
      </c>
      <c r="H108" s="8"/>
      <c r="I108" s="4"/>
    </row>
    <row r="109">
      <c r="A109" s="7"/>
      <c r="B109" s="3"/>
      <c r="C109" s="7"/>
      <c r="D109" s="5"/>
      <c r="E109" s="5">
        <f>IF(C109="","",C109*D109)</f>
      </c>
      <c r="F109" s="5"/>
      <c r="G109" s="9">
        <f>IF(C109="","",E109-F109)</f>
      </c>
      <c r="H109" s="7"/>
      <c r="I109" s="3"/>
    </row>
    <row r="110">
      <c r="A110" s="8"/>
      <c r="B110" s="4"/>
      <c r="C110" s="8"/>
      <c r="D110" s="6"/>
      <c r="E110" s="6">
        <f>IF(C110="","",C110*D110)</f>
      </c>
      <c r="F110" s="6"/>
      <c r="G110" s="10">
        <f>IF(C110="","",E110-F110)</f>
      </c>
      <c r="H110" s="8"/>
      <c r="I110" s="4"/>
    </row>
    <row r="111">
      <c r="A111" s="7"/>
      <c r="B111" s="3"/>
      <c r="C111" s="7"/>
      <c r="D111" s="5"/>
      <c r="E111" s="5">
        <f>IF(C111="","",C111*D111)</f>
      </c>
      <c r="F111" s="5"/>
      <c r="G111" s="9">
        <f>IF(C111="","",E111-F111)</f>
      </c>
      <c r="H111" s="7"/>
      <c r="I111" s="3"/>
    </row>
    <row r="112">
      <c r="A112" s="8"/>
      <c r="B112" s="4"/>
      <c r="C112" s="8"/>
      <c r="D112" s="6"/>
      <c r="E112" s="6">
        <f>IF(C112="","",C112*D112)</f>
      </c>
      <c r="F112" s="6"/>
      <c r="G112" s="10">
        <f>IF(C112="","",E112-F112)</f>
      </c>
      <c r="H112" s="8"/>
      <c r="I112" s="4"/>
    </row>
    <row r="113">
      <c r="A113" s="7"/>
      <c r="B113" s="3"/>
      <c r="C113" s="7"/>
      <c r="D113" s="5"/>
      <c r="E113" s="5">
        <f>IF(C113="","",C113*D113)</f>
      </c>
      <c r="F113" s="5"/>
      <c r="G113" s="9">
        <f>IF(C113="","",E113-F113)</f>
      </c>
      <c r="H113" s="7"/>
      <c r="I113" s="3"/>
    </row>
    <row r="114">
      <c r="A114" s="8"/>
      <c r="B114" s="4"/>
      <c r="C114" s="8"/>
      <c r="D114" s="6"/>
      <c r="E114" s="6">
        <f>IF(C114="","",C114*D114)</f>
      </c>
      <c r="F114" s="6"/>
      <c r="G114" s="10">
        <f>IF(C114="","",E114-F114)</f>
      </c>
      <c r="H114" s="8"/>
      <c r="I114" s="4"/>
    </row>
    <row r="115">
      <c r="A115" s="7"/>
      <c r="B115" s="3"/>
      <c r="C115" s="7"/>
      <c r="D115" s="5"/>
      <c r="E115" s="5">
        <f>IF(C115="","",C115*D115)</f>
      </c>
      <c r="F115" s="5"/>
      <c r="G115" s="9">
        <f>IF(C115="","",E115-F115)</f>
      </c>
      <c r="H115" s="7"/>
      <c r="I115" s="3"/>
    </row>
    <row r="116">
      <c r="A116" s="8"/>
      <c r="B116" s="4"/>
      <c r="C116" s="8"/>
      <c r="D116" s="6"/>
      <c r="E116" s="6">
        <f>IF(C116="","",C116*D116)</f>
      </c>
      <c r="F116" s="6"/>
      <c r="G116" s="10">
        <f>IF(C116="","",E116-F116)</f>
      </c>
      <c r="H116" s="8"/>
      <c r="I116" s="4"/>
    </row>
    <row r="117">
      <c r="A117" s="7"/>
      <c r="B117" s="3"/>
      <c r="C117" s="7"/>
      <c r="D117" s="5"/>
      <c r="E117" s="5">
        <f>IF(C117="","",C117*D117)</f>
      </c>
      <c r="F117" s="5"/>
      <c r="G117" s="9">
        <f>IF(C117="","",E117-F117)</f>
      </c>
      <c r="H117" s="7"/>
      <c r="I117" s="3"/>
    </row>
    <row r="118">
      <c r="A118" s="8"/>
      <c r="B118" s="4"/>
      <c r="C118" s="8"/>
      <c r="D118" s="6"/>
      <c r="E118" s="6">
        <f>IF(C118="","",C118*D118)</f>
      </c>
      <c r="F118" s="6"/>
      <c r="G118" s="10">
        <f>IF(C118="","",E118-F118)</f>
      </c>
      <c r="H118" s="8"/>
      <c r="I118" s="4"/>
    </row>
    <row r="119">
      <c r="A119" s="7"/>
      <c r="B119" s="3"/>
      <c r="C119" s="7"/>
      <c r="D119" s="5"/>
      <c r="E119" s="5">
        <f>IF(C119="","",C119*D119)</f>
      </c>
      <c r="F119" s="5"/>
      <c r="G119" s="9">
        <f>IF(C119="","",E119-F119)</f>
      </c>
      <c r="H119" s="7"/>
      <c r="I119" s="3"/>
    </row>
    <row r="120">
      <c r="A120" s="8"/>
      <c r="B120" s="4"/>
      <c r="C120" s="8"/>
      <c r="D120" s="6"/>
      <c r="E120" s="6">
        <f>IF(C120="","",C120*D120)</f>
      </c>
      <c r="F120" s="6"/>
      <c r="G120" s="10">
        <f>IF(C120="","",E120-F120)</f>
      </c>
      <c r="H120" s="8"/>
      <c r="I120" s="4"/>
    </row>
    <row r="121">
      <c r="A121" s="7"/>
      <c r="B121" s="3"/>
      <c r="C121" s="7"/>
      <c r="D121" s="5"/>
      <c r="E121" s="5">
        <f>IF(C121="","",C121*D121)</f>
      </c>
      <c r="F121" s="5"/>
      <c r="G121" s="9">
        <f>IF(C121="","",E121-F121)</f>
      </c>
      <c r="H121" s="7"/>
      <c r="I121" s="3"/>
    </row>
    <row r="122">
      <c r="A122" s="8"/>
      <c r="B122" s="4"/>
      <c r="C122" s="8"/>
      <c r="D122" s="6"/>
      <c r="E122" s="6">
        <f>IF(C122="","",C122*D122)</f>
      </c>
      <c r="F122" s="6"/>
      <c r="G122" s="10">
        <f>IF(C122="","",E122-F122)</f>
      </c>
      <c r="H122" s="8"/>
      <c r="I122" s="4"/>
    </row>
    <row r="123">
      <c r="A123" s="7"/>
      <c r="B123" s="3"/>
      <c r="C123" s="7"/>
      <c r="D123" s="5"/>
      <c r="E123" s="5">
        <f>IF(C123="","",C123*D123)</f>
      </c>
      <c r="F123" s="5"/>
      <c r="G123" s="9">
        <f>IF(C123="","",E123-F123)</f>
      </c>
      <c r="H123" s="7"/>
      <c r="I123" s="3"/>
    </row>
    <row r="124">
      <c r="A124" s="8"/>
      <c r="B124" s="4"/>
      <c r="C124" s="8"/>
      <c r="D124" s="6"/>
      <c r="E124" s="6">
        <f>IF(C124="","",C124*D124)</f>
      </c>
      <c r="F124" s="6"/>
      <c r="G124" s="10">
        <f>IF(C124="","",E124-F124)</f>
      </c>
      <c r="H124" s="8"/>
      <c r="I124" s="4"/>
    </row>
    <row r="125">
      <c r="A125" s="7"/>
      <c r="B125" s="3"/>
      <c r="C125" s="7"/>
      <c r="D125" s="5"/>
      <c r="E125" s="5">
        <f>IF(C125="","",C125*D125)</f>
      </c>
      <c r="F125" s="5"/>
      <c r="G125" s="9">
        <f>IF(C125="","",E125-F125)</f>
      </c>
      <c r="H125" s="7"/>
      <c r="I125" s="3"/>
    </row>
    <row r="126">
      <c r="A126" s="8"/>
      <c r="B126" s="4"/>
      <c r="C126" s="8"/>
      <c r="D126" s="6"/>
      <c r="E126" s="6">
        <f>IF(C126="","",C126*D126)</f>
      </c>
      <c r="F126" s="6"/>
      <c r="G126" s="10">
        <f>IF(C126="","",E126-F126)</f>
      </c>
      <c r="H126" s="8"/>
      <c r="I126" s="4"/>
    </row>
    <row r="127">
      <c r="A127" s="7"/>
      <c r="B127" s="3"/>
      <c r="C127" s="7"/>
      <c r="D127" s="5"/>
      <c r="E127" s="5">
        <f>IF(C127="","",C127*D127)</f>
      </c>
      <c r="F127" s="5"/>
      <c r="G127" s="9">
        <f>IF(C127="","",E127-F127)</f>
      </c>
      <c r="H127" s="7"/>
      <c r="I127" s="3"/>
    </row>
    <row r="128">
      <c r="A128" s="8"/>
      <c r="B128" s="4"/>
      <c r="C128" s="8"/>
      <c r="D128" s="6"/>
      <c r="E128" s="6">
        <f>IF(C128="","",C128*D128)</f>
      </c>
      <c r="F128" s="6"/>
      <c r="G128" s="10">
        <f>IF(C128="","",E128-F128)</f>
      </c>
      <c r="H128" s="8"/>
      <c r="I128" s="4"/>
    </row>
    <row r="129">
      <c r="A129" s="7"/>
      <c r="B129" s="3"/>
      <c r="C129" s="7"/>
      <c r="D129" s="5"/>
      <c r="E129" s="5">
        <f>IF(C129="","",C129*D129)</f>
      </c>
      <c r="F129" s="5"/>
      <c r="G129" s="9">
        <f>IF(C129="","",E129-F129)</f>
      </c>
      <c r="H129" s="7"/>
      <c r="I129" s="3"/>
    </row>
    <row r="130">
      <c r="A130" s="8"/>
      <c r="B130" s="4"/>
      <c r="C130" s="8"/>
      <c r="D130" s="6"/>
      <c r="E130" s="6">
        <f>IF(C130="","",C130*D130)</f>
      </c>
      <c r="F130" s="6"/>
      <c r="G130" s="10">
        <f>IF(C130="","",E130-F130)</f>
      </c>
      <c r="H130" s="8"/>
      <c r="I130" s="4"/>
    </row>
    <row r="131">
      <c r="A131" s="7"/>
      <c r="B131" s="3"/>
      <c r="C131" s="7"/>
      <c r="D131" s="5"/>
      <c r="E131" s="5">
        <f>IF(C131="","",C131*D131)</f>
      </c>
      <c r="F131" s="5"/>
      <c r="G131" s="9">
        <f>IF(C131="","",E131-F131)</f>
      </c>
      <c r="H131" s="7"/>
      <c r="I131" s="3"/>
    </row>
    <row r="132">
      <c r="A132" s="8"/>
      <c r="B132" s="4"/>
      <c r="C132" s="8"/>
      <c r="D132" s="6"/>
      <c r="E132" s="6">
        <f>IF(C132="","",C132*D132)</f>
      </c>
      <c r="F132" s="6"/>
      <c r="G132" s="10">
        <f>IF(C132="","",E132-F132)</f>
      </c>
      <c r="H132" s="8"/>
      <c r="I132" s="4"/>
    </row>
    <row r="133">
      <c r="A133" s="7"/>
      <c r="B133" s="3"/>
      <c r="C133" s="7"/>
      <c r="D133" s="5"/>
      <c r="E133" s="5">
        <f>IF(C133="","",C133*D133)</f>
      </c>
      <c r="F133" s="5"/>
      <c r="G133" s="9">
        <f>IF(C133="","",E133-F133)</f>
      </c>
      <c r="H133" s="7"/>
      <c r="I133" s="3"/>
    </row>
    <row r="134">
      <c r="A134" s="8"/>
      <c r="B134" s="4"/>
      <c r="C134" s="8"/>
      <c r="D134" s="6"/>
      <c r="E134" s="6">
        <f>IF(C134="","",C134*D134)</f>
      </c>
      <c r="F134" s="6"/>
      <c r="G134" s="10">
        <f>IF(C134="","",E134-F134)</f>
      </c>
      <c r="H134" s="8"/>
      <c r="I134" s="4"/>
    </row>
    <row r="135">
      <c r="A135" s="7"/>
      <c r="B135" s="3"/>
      <c r="C135" s="7"/>
      <c r="D135" s="5"/>
      <c r="E135" s="5">
        <f>IF(C135="","",C135*D135)</f>
      </c>
      <c r="F135" s="5"/>
      <c r="G135" s="9">
        <f>IF(C135="","",E135-F135)</f>
      </c>
      <c r="H135" s="7"/>
      <c r="I135" s="3"/>
    </row>
    <row r="136">
      <c r="A136" s="8"/>
      <c r="B136" s="4"/>
      <c r="C136" s="8"/>
      <c r="D136" s="6"/>
      <c r="E136" s="6">
        <f>IF(C136="","",C136*D136)</f>
      </c>
      <c r="F136" s="6"/>
      <c r="G136" s="10">
        <f>IF(C136="","",E136-F136)</f>
      </c>
      <c r="H136" s="8"/>
      <c r="I136" s="4"/>
    </row>
    <row r="137">
      <c r="A137" s="7"/>
      <c r="B137" s="3"/>
      <c r="C137" s="7"/>
      <c r="D137" s="5"/>
      <c r="E137" s="5">
        <f>IF(C137="","",C137*D137)</f>
      </c>
      <c r="F137" s="5"/>
      <c r="G137" s="9">
        <f>IF(C137="","",E137-F137)</f>
      </c>
      <c r="H137" s="7"/>
      <c r="I137" s="3"/>
    </row>
    <row r="138">
      <c r="A138" s="8"/>
      <c r="B138" s="4"/>
      <c r="C138" s="8"/>
      <c r="D138" s="6"/>
      <c r="E138" s="6">
        <f>IF(C138="","",C138*D138)</f>
      </c>
      <c r="F138" s="6"/>
      <c r="G138" s="10">
        <f>IF(C138="","",E138-F138)</f>
      </c>
      <c r="H138" s="8"/>
      <c r="I138" s="4"/>
    </row>
    <row r="139">
      <c r="A139" s="7"/>
      <c r="B139" s="3"/>
      <c r="C139" s="7"/>
      <c r="D139" s="5"/>
      <c r="E139" s="5">
        <f>IF(C139="","",C139*D139)</f>
      </c>
      <c r="F139" s="5"/>
      <c r="G139" s="9">
        <f>IF(C139="","",E139-F139)</f>
      </c>
      <c r="H139" s="7"/>
      <c r="I139" s="3"/>
    </row>
    <row r="140">
      <c r="A140" s="8"/>
      <c r="B140" s="4"/>
      <c r="C140" s="8"/>
      <c r="D140" s="6"/>
      <c r="E140" s="6">
        <f>IF(C140="","",C140*D140)</f>
      </c>
      <c r="F140" s="6"/>
      <c r="G140" s="10">
        <f>IF(C140="","",E140-F140)</f>
      </c>
      <c r="H140" s="8"/>
      <c r="I140" s="4"/>
    </row>
    <row r="141">
      <c r="A141" s="7"/>
      <c r="B141" s="3"/>
      <c r="C141" s="7"/>
      <c r="D141" s="5"/>
      <c r="E141" s="5">
        <f>IF(C141="","",C141*D141)</f>
      </c>
      <c r="F141" s="5"/>
      <c r="G141" s="9">
        <f>IF(C141="","",E141-F141)</f>
      </c>
      <c r="H141" s="7"/>
      <c r="I141" s="3"/>
    </row>
    <row r="142">
      <c r="A142" s="8"/>
      <c r="B142" s="4"/>
      <c r="C142" s="8"/>
      <c r="D142" s="6"/>
      <c r="E142" s="6">
        <f>IF(C142="","",C142*D142)</f>
      </c>
      <c r="F142" s="6"/>
      <c r="G142" s="10">
        <f>IF(C142="","",E142-F142)</f>
      </c>
      <c r="H142" s="8"/>
      <c r="I142" s="4"/>
    </row>
    <row r="143">
      <c r="A143" s="7"/>
      <c r="B143" s="3"/>
      <c r="C143" s="7"/>
      <c r="D143" s="5"/>
      <c r="E143" s="5">
        <f>IF(C143="","",C143*D143)</f>
      </c>
      <c r="F143" s="5"/>
      <c r="G143" s="9">
        <f>IF(C143="","",E143-F143)</f>
      </c>
      <c r="H143" s="7"/>
      <c r="I143" s="3"/>
    </row>
    <row r="144">
      <c r="A144" s="8"/>
      <c r="B144" s="4"/>
      <c r="C144" s="8"/>
      <c r="D144" s="6"/>
      <c r="E144" s="6">
        <f>IF(C144="","",C144*D144)</f>
      </c>
      <c r="F144" s="6"/>
      <c r="G144" s="10">
        <f>IF(C144="","",E144-F144)</f>
      </c>
      <c r="H144" s="8"/>
      <c r="I144" s="4"/>
    </row>
    <row r="145">
      <c r="A145" s="7"/>
      <c r="B145" s="3"/>
      <c r="C145" s="7"/>
      <c r="D145" s="5"/>
      <c r="E145" s="5">
        <f>IF(C145="","",C145*D145)</f>
      </c>
      <c r="F145" s="5"/>
      <c r="G145" s="9">
        <f>IF(C145="","",E145-F145)</f>
      </c>
      <c r="H145" s="7"/>
      <c r="I145" s="3"/>
    </row>
    <row r="146">
      <c r="A146" s="8"/>
      <c r="B146" s="4"/>
      <c r="C146" s="8"/>
      <c r="D146" s="6"/>
      <c r="E146" s="6">
        <f>IF(C146="","",C146*D146)</f>
      </c>
      <c r="F146" s="6"/>
      <c r="G146" s="10">
        <f>IF(C146="","",E146-F146)</f>
      </c>
      <c r="H146" s="8"/>
      <c r="I146" s="4"/>
    </row>
    <row r="147">
      <c r="A147" s="7"/>
      <c r="B147" s="3"/>
      <c r="C147" s="7"/>
      <c r="D147" s="5"/>
      <c r="E147" s="5">
        <f>IF(C147="","",C147*D147)</f>
      </c>
      <c r="F147" s="5"/>
      <c r="G147" s="9">
        <f>IF(C147="","",E147-F147)</f>
      </c>
      <c r="H147" s="7"/>
      <c r="I147" s="3"/>
    </row>
    <row r="148">
      <c r="A148" s="8"/>
      <c r="B148" s="4"/>
      <c r="C148" s="8"/>
      <c r="D148" s="6"/>
      <c r="E148" s="6">
        <f>IF(C148="","",C148*D148)</f>
      </c>
      <c r="F148" s="6"/>
      <c r="G148" s="10">
        <f>IF(C148="","",E148-F148)</f>
      </c>
      <c r="H148" s="8"/>
      <c r="I148" s="4"/>
    </row>
    <row r="149">
      <c r="A149" s="7"/>
      <c r="B149" s="3"/>
      <c r="C149" s="7"/>
      <c r="D149" s="5"/>
      <c r="E149" s="5">
        <f>IF(C149="","",C149*D149)</f>
      </c>
      <c r="F149" s="5"/>
      <c r="G149" s="9">
        <f>IF(C149="","",E149-F149)</f>
      </c>
      <c r="H149" s="7"/>
      <c r="I149" s="3"/>
    </row>
    <row r="150">
      <c r="A150" s="8"/>
      <c r="B150" s="4"/>
      <c r="C150" s="8"/>
      <c r="D150" s="6"/>
      <c r="E150" s="6">
        <f>IF(C150="","",C150*D150)</f>
      </c>
      <c r="F150" s="6"/>
      <c r="G150" s="10">
        <f>IF(C150="","",E150-F150)</f>
      </c>
      <c r="H150" s="8"/>
      <c r="I150" s="4"/>
    </row>
    <row r="151">
      <c r="A151" s="7"/>
      <c r="B151" s="3"/>
      <c r="C151" s="7"/>
      <c r="D151" s="5"/>
      <c r="E151" s="5">
        <f>IF(C151="","",C151*D151)</f>
      </c>
      <c r="F151" s="5"/>
      <c r="G151" s="9">
        <f>IF(C151="","",E151-F151)</f>
      </c>
      <c r="H151" s="7"/>
      <c r="I151" s="3"/>
    </row>
    <row r="152">
      <c r="A152" s="8"/>
      <c r="B152" s="4"/>
      <c r="C152" s="8"/>
      <c r="D152" s="6"/>
      <c r="E152" s="6">
        <f>IF(C152="","",C152*D152)</f>
      </c>
      <c r="F152" s="6"/>
      <c r="G152" s="10">
        <f>IF(C152="","",E152-F152)</f>
      </c>
      <c r="H152" s="8"/>
      <c r="I152" s="4"/>
    </row>
    <row r="153">
      <c r="A153" s="7"/>
      <c r="B153" s="3"/>
      <c r="C153" s="7"/>
      <c r="D153" s="5"/>
      <c r="E153" s="5">
        <f>IF(C153="","",C153*D153)</f>
      </c>
      <c r="F153" s="5"/>
      <c r="G153" s="9">
        <f>IF(C153="","",E153-F153)</f>
      </c>
      <c r="H153" s="7"/>
      <c r="I153" s="3"/>
    </row>
    <row r="154">
      <c r="A154" s="8"/>
      <c r="B154" s="4"/>
      <c r="C154" s="8"/>
      <c r="D154" s="6"/>
      <c r="E154" s="6">
        <f>IF(C154="","",C154*D154)</f>
      </c>
      <c r="F154" s="6"/>
      <c r="G154" s="10">
        <f>IF(C154="","",E154-F154)</f>
      </c>
      <c r="H154" s="8"/>
      <c r="I154" s="4"/>
    </row>
    <row r="155">
      <c r="A155" s="7"/>
      <c r="B155" s="3"/>
      <c r="C155" s="7"/>
      <c r="D155" s="5"/>
      <c r="E155" s="5">
        <f>IF(C155="","",C155*D155)</f>
      </c>
      <c r="F155" s="5"/>
      <c r="G155" s="9">
        <f>IF(C155="","",E155-F155)</f>
      </c>
      <c r="H155" s="7"/>
      <c r="I155" s="3"/>
    </row>
    <row r="156">
      <c r="A156" s="8"/>
      <c r="B156" s="4"/>
      <c r="C156" s="8"/>
      <c r="D156" s="6"/>
      <c r="E156" s="6">
        <f>IF(C156="","",C156*D156)</f>
      </c>
      <c r="F156" s="6"/>
      <c r="G156" s="10">
        <f>IF(C156="","",E156-F156)</f>
      </c>
      <c r="H156" s="8"/>
      <c r="I156" s="4"/>
    </row>
    <row r="157">
      <c r="A157" s="7"/>
      <c r="B157" s="3"/>
      <c r="C157" s="7"/>
      <c r="D157" s="5"/>
      <c r="E157" s="5">
        <f>IF(C157="","",C157*D157)</f>
      </c>
      <c r="F157" s="5"/>
      <c r="G157" s="9">
        <f>IF(C157="","",E157-F157)</f>
      </c>
      <c r="H157" s="7"/>
      <c r="I157" s="3"/>
    </row>
    <row r="158">
      <c r="A158" s="8"/>
      <c r="B158" s="4"/>
      <c r="C158" s="8"/>
      <c r="D158" s="6"/>
      <c r="E158" s="6">
        <f>IF(C158="","",C158*D158)</f>
      </c>
      <c r="F158" s="6"/>
      <c r="G158" s="10">
        <f>IF(C158="","",E158-F158)</f>
      </c>
      <c r="H158" s="8"/>
      <c r="I158" s="4"/>
    </row>
    <row r="159">
      <c r="A159" s="7"/>
      <c r="B159" s="3"/>
      <c r="C159" s="7"/>
      <c r="D159" s="5"/>
      <c r="E159" s="5">
        <f>IF(C159="","",C159*D159)</f>
      </c>
      <c r="F159" s="5"/>
      <c r="G159" s="9">
        <f>IF(C159="","",E159-F159)</f>
      </c>
      <c r="H159" s="7"/>
      <c r="I159" s="3"/>
    </row>
    <row r="160">
      <c r="A160" s="8"/>
      <c r="B160" s="4"/>
      <c r="C160" s="8"/>
      <c r="D160" s="6"/>
      <c r="E160" s="6">
        <f>IF(C160="","",C160*D160)</f>
      </c>
      <c r="F160" s="6"/>
      <c r="G160" s="10">
        <f>IF(C160="","",E160-F160)</f>
      </c>
      <c r="H160" s="8"/>
      <c r="I160" s="4"/>
    </row>
    <row r="161">
      <c r="A161" s="7"/>
      <c r="B161" s="3"/>
      <c r="C161" s="7"/>
      <c r="D161" s="5"/>
      <c r="E161" s="5">
        <f>IF(C161="","",C161*D161)</f>
      </c>
      <c r="F161" s="5"/>
      <c r="G161" s="9">
        <f>IF(C161="","",E161-F161)</f>
      </c>
      <c r="H161" s="7"/>
      <c r="I161" s="3"/>
    </row>
    <row r="162">
      <c r="A162" s="8"/>
      <c r="B162" s="4"/>
      <c r="C162" s="8"/>
      <c r="D162" s="6"/>
      <c r="E162" s="6">
        <f>IF(C162="","",C162*D162)</f>
      </c>
      <c r="F162" s="6"/>
      <c r="G162" s="10">
        <f>IF(C162="","",E162-F162)</f>
      </c>
      <c r="H162" s="8"/>
      <c r="I162" s="4"/>
    </row>
  </sheetData>
  <autoFilter ref="A2:I2"/>
  <mergeCells count="1">
    <mergeCell ref="A1:I1"/>
  </mergeCells>
  <dataValidations count="1">
    <dataValidation type="list" allowBlank="1" showInputMessage="1" showErrorMessage="1" sqref="H3:H162">
      <formula1>"ביט,העברה,מזומן,צ׳ק,–"</formula1>
    </dataValidation>
  </dataValidations>
</worksheet>
</file>

<file path=xl/worksheets/sheet3.xml><?xml version="1.0" encoding="utf-8"?>
<worksheet xmlns="http://schemas.openxmlformats.org/spreadsheetml/2006/main">
  <sheetViews>
    <sheetView rightToLeft="1" workbookViewId="0">
      <pane ySplit="2" topLeftCell="A3" activePane="bottomLeft" state="frozen"/>
      <selection pane="bottomLeft"/>
    </sheetView>
  </sheetViews>
  <sheetFormatPr defaultRowHeight="18"/>
  <cols>
    <col min="1" max="1" width="10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 ht="36" customHeight="1">
      <c r="A1" s="1" t="inlineStr">
        <is>
          <t xml:space="preserve">טק בגובה העיניים – דנה קוניק  |  לוז שבועי</t>
        </is>
      </c>
    </row>
    <row r="2" ht="26" customHeight="1">
      <c r="A2" s="2" t="inlineStr">
        <is>
          <t xml:space="preserve">שעה</t>
        </is>
      </c>
      <c r="B2" s="2" t="inlineStr">
        <is>
          <t xml:space="preserve">ראשון</t>
        </is>
      </c>
      <c r="C2" s="2" t="inlineStr">
        <is>
          <t xml:space="preserve">שני</t>
        </is>
      </c>
      <c r="D2" s="2" t="inlineStr">
        <is>
          <t xml:space="preserve">שלישי</t>
        </is>
      </c>
      <c r="E2" s="2" t="inlineStr">
        <is>
          <t xml:space="preserve">רביעי</t>
        </is>
      </c>
      <c r="F2" s="2" t="inlineStr">
        <is>
          <t xml:space="preserve">חמישי</t>
        </is>
      </c>
      <c r="G2" s="2" t="inlineStr">
        <is>
          <t xml:space="preserve">שישי</t>
        </is>
      </c>
    </row>
    <row r="3">
      <c r="A3" s="13" t="inlineStr">
        <is>
          <t xml:space="preserve">08:00</t>
        </is>
      </c>
      <c r="B3" s="3"/>
      <c r="C3" s="3"/>
      <c r="D3" s="3"/>
      <c r="E3" s="3"/>
      <c r="F3" s="3"/>
      <c r="G3" s="3"/>
    </row>
    <row r="4">
      <c r="A4" s="13" t="inlineStr">
        <is>
          <t xml:space="preserve">09:00</t>
        </is>
      </c>
      <c r="B4" s="4"/>
      <c r="C4" s="4"/>
      <c r="D4" s="4"/>
      <c r="E4" s="4"/>
      <c r="F4" s="14" t="inlineStr">
        <is>
          <t xml:space="preserve">שושנה ברק</t>
        </is>
      </c>
      <c r="G4" s="4"/>
    </row>
    <row r="5">
      <c r="A5" s="13" t="inlineStr">
        <is>
          <t xml:space="preserve">10:00</t>
        </is>
      </c>
      <c r="B5" s="14" t="inlineStr">
        <is>
          <t xml:space="preserve">מרים כהן</t>
        </is>
      </c>
      <c r="C5" s="3"/>
      <c r="D5" s="3"/>
      <c r="E5" s="3"/>
      <c r="F5" s="3"/>
      <c r="G5" s="3"/>
    </row>
    <row r="6">
      <c r="A6" s="13" t="inlineStr">
        <is>
          <t xml:space="preserve">11:00</t>
        </is>
      </c>
      <c r="B6" s="4"/>
      <c r="C6" s="4"/>
      <c r="D6" s="14" t="inlineStr">
        <is>
          <t xml:space="preserve">רות לוי</t>
        </is>
      </c>
      <c r="E6" s="4"/>
      <c r="F6" s="4"/>
      <c r="G6" s="4"/>
    </row>
    <row r="7">
      <c r="A7" s="13" t="inlineStr">
        <is>
          <t xml:space="preserve">12:00</t>
        </is>
      </c>
      <c r="B7" s="3"/>
      <c r="C7" s="3"/>
      <c r="D7" s="3"/>
      <c r="E7" s="3"/>
      <c r="F7" s="3"/>
      <c r="G7" s="3"/>
    </row>
    <row r="8">
      <c r="A8" s="13" t="inlineStr">
        <is>
          <t xml:space="preserve">13:00</t>
        </is>
      </c>
      <c r="B8" s="4"/>
      <c r="C8" s="4"/>
      <c r="D8" s="4"/>
      <c r="E8" s="4"/>
      <c r="F8" s="4"/>
      <c r="G8" s="4"/>
    </row>
    <row r="9">
      <c r="A9" s="13" t="inlineStr">
        <is>
          <t xml:space="preserve">14:00</t>
        </is>
      </c>
      <c r="B9" s="3"/>
      <c r="C9" s="14" t="inlineStr">
        <is>
          <t xml:space="preserve">חנה גולן</t>
        </is>
      </c>
      <c r="D9" s="3"/>
      <c r="E9" s="3"/>
      <c r="F9" s="3"/>
      <c r="G9" s="3"/>
    </row>
    <row r="10">
      <c r="A10" s="13" t="inlineStr">
        <is>
          <t xml:space="preserve">15:00</t>
        </is>
      </c>
      <c r="B10" s="4"/>
      <c r="C10" s="4"/>
      <c r="D10" s="4"/>
      <c r="E10" s="4"/>
      <c r="F10" s="4"/>
      <c r="G10" s="4"/>
    </row>
    <row r="11">
      <c r="A11" s="13" t="inlineStr">
        <is>
          <t xml:space="preserve">16:00</t>
        </is>
      </c>
      <c r="B11" s="3"/>
      <c r="C11" s="3"/>
      <c r="D11" s="3"/>
      <c r="E11" s="3"/>
      <c r="F11" s="3"/>
      <c r="G11" s="3"/>
    </row>
    <row r="12">
      <c r="A12" s="13" t="inlineStr">
        <is>
          <t xml:space="preserve">17:00</t>
        </is>
      </c>
      <c r="B12" s="4"/>
      <c r="C12" s="4"/>
      <c r="D12" s="4"/>
      <c r="E12" s="4"/>
      <c r="F12" s="4"/>
      <c r="G12" s="4"/>
    </row>
    <row r="13">
      <c r="A13" s="13" t="inlineStr">
        <is>
          <t xml:space="preserve">18:00</t>
        </is>
      </c>
      <c r="B13" s="3"/>
      <c r="C13" s="3"/>
      <c r="D13" s="3"/>
      <c r="E13" s="3"/>
      <c r="F13" s="3"/>
      <c r="G13" s="3"/>
    </row>
    <row r="14">
      <c r="A14" s="13" t="inlineStr">
        <is>
          <t xml:space="preserve">19:00</t>
        </is>
      </c>
      <c r="B14" s="4"/>
      <c r="C14" s="4"/>
      <c r="D14" s="4"/>
      <c r="E14" s="4"/>
      <c r="F14" s="4"/>
      <c r="G14" s="4"/>
    </row>
  </sheetData>
  <mergeCells count="1">
    <mergeCell ref="A1:G1"/>
  </mergeCells>
</worksheet>
</file>

<file path=xl/worksheets/sheet4.xml><?xml version="1.0" encoding="utf-8"?>
<worksheet xmlns="http://schemas.openxmlformats.org/spreadsheetml/2006/main">
  <sheetViews>
    <sheetView rightToLeft="1" workbookViewId="0">
      <pane ySplit="2" topLeftCell="A3" activePane="bottomLeft" state="frozen"/>
      <selection pane="bottomLeft"/>
    </sheetView>
  </sheetViews>
  <sheetFormatPr defaultRowHeight="18"/>
  <cols>
    <col min="1" max="1" width="18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4" customWidth="1"/>
  </cols>
  <sheetData>
    <row r="1" ht="36" customHeight="1">
      <c r="A1" s="1" t="inlineStr">
        <is>
          <t xml:space="preserve">טק בגובה העיניים – דנה קוניק  |  הכנסות חודשיות</t>
        </is>
      </c>
    </row>
    <row r="2" ht="26" customHeight="1">
      <c r="A2" s="2" t="inlineStr">
        <is>
          <t xml:space="preserve">תלמידה</t>
        </is>
      </c>
      <c r="B2" s="2" t="inlineStr">
        <is>
          <t xml:space="preserve">ינואר</t>
        </is>
      </c>
      <c r="C2" s="2" t="inlineStr">
        <is>
          <t xml:space="preserve">פברואר</t>
        </is>
      </c>
      <c r="D2" s="2" t="inlineStr">
        <is>
          <t xml:space="preserve">מרץ</t>
        </is>
      </c>
      <c r="E2" s="2" t="inlineStr">
        <is>
          <t xml:space="preserve">אפריל</t>
        </is>
      </c>
      <c r="F2" s="2" t="inlineStr">
        <is>
          <t xml:space="preserve">מאי</t>
        </is>
      </c>
      <c r="G2" s="2" t="inlineStr">
        <is>
          <t xml:space="preserve">יוני</t>
        </is>
      </c>
      <c r="H2" s="2" t="inlineStr">
        <is>
          <t xml:space="preserve">יולי</t>
        </is>
      </c>
      <c r="I2" s="2" t="inlineStr">
        <is>
          <t xml:space="preserve">אוגוסט</t>
        </is>
      </c>
      <c r="J2" s="2" t="inlineStr">
        <is>
          <t xml:space="preserve">ספטמבר</t>
        </is>
      </c>
      <c r="K2" s="2" t="inlineStr">
        <is>
          <t xml:space="preserve">אוקטובר</t>
        </is>
      </c>
      <c r="L2" s="2" t="inlineStr">
        <is>
          <t xml:space="preserve">נובמבר</t>
        </is>
      </c>
      <c r="M2" s="2" t="inlineStr">
        <is>
          <t xml:space="preserve">דצמבר</t>
        </is>
      </c>
      <c r="N2" s="2" t="inlineStr">
        <is>
          <t xml:space="preserve">סה"כ שנתי</t>
        </is>
      </c>
    </row>
    <row r="3">
      <c r="A3" s="3">
        <f>IF('תלמידות'!B3="","",'תלמידות'!B3)</f>
      </c>
      <c r="B3" s="5">
        <f>SUMIFS('תשלומים'!$F$3:$F$162,'תשלומים'!$B$3:$B$162,$A3,'תשלומים'!$A$3:$A$162,"??/01/*")</f>
      </c>
      <c r="C3" s="5">
        <f>SUMIFS('תשלומים'!$F$3:$F$162,'תשלומים'!$B$3:$B$162,$A3,'תשלומים'!$A$3:$A$162,"??/02/*")</f>
      </c>
      <c r="D3" s="5">
        <f>SUMIFS('תשלומים'!$F$3:$F$162,'תשלומים'!$B$3:$B$162,$A3,'תשלומים'!$A$3:$A$162,"??/03/*")</f>
      </c>
      <c r="E3" s="5">
        <f>SUMIFS('תשלומים'!$F$3:$F$162,'תשלומים'!$B$3:$B$162,$A3,'תשלומים'!$A$3:$A$162,"??/04/*")</f>
      </c>
      <c r="F3" s="5">
        <f>SUMIFS('תשלומים'!$F$3:$F$162,'תשלומים'!$B$3:$B$162,$A3,'תשלומים'!$A$3:$A$162,"??/05/*")</f>
      </c>
      <c r="G3" s="5">
        <f>SUMIFS('תשלומים'!$F$3:$F$162,'תשלומים'!$B$3:$B$162,$A3,'תשלומים'!$A$3:$A$162,"??/06/*")</f>
      </c>
      <c r="H3" s="5">
        <f>SUMIFS('תשלומים'!$F$3:$F$162,'תשלומים'!$B$3:$B$162,$A3,'תשלומים'!$A$3:$A$162,"??/07/*")</f>
      </c>
      <c r="I3" s="5">
        <f>SUMIFS('תשלומים'!$F$3:$F$162,'תשלומים'!$B$3:$B$162,$A3,'תשלומים'!$A$3:$A$162,"??/08/*")</f>
      </c>
      <c r="J3" s="5">
        <f>SUMIFS('תשלומים'!$F$3:$F$162,'תשלומים'!$B$3:$B$162,$A3,'תשלומים'!$A$3:$A$162,"??/09/*")</f>
      </c>
      <c r="K3" s="5">
        <f>SUMIFS('תשלומים'!$F$3:$F$162,'תשלומים'!$B$3:$B$162,$A3,'תשלומים'!$A$3:$A$162,"??/10/*")</f>
      </c>
      <c r="L3" s="5">
        <f>SUMIFS('תשלומים'!$F$3:$F$162,'תשלומים'!$B$3:$B$162,$A3,'תשלומים'!$A$3:$A$162,"??/11/*")</f>
      </c>
      <c r="M3" s="5">
        <f>SUMIFS('תשלומים'!$F$3:$F$162,'תשלומים'!$B$3:$B$162,$A3,'תשלומים'!$A$3:$A$162,"??/12/*")</f>
      </c>
      <c r="N3" s="12">
        <f>SUM(B3:M3)</f>
      </c>
    </row>
    <row r="4">
      <c r="A4" s="4">
        <f>IF('תלמידות'!B4="","",'תלמידות'!B4)</f>
      </c>
      <c r="B4" s="6">
        <f>SUMIFS('תשלומים'!$F$3:$F$162,'תשלומים'!$B$3:$B$162,$A4,'תשלומים'!$A$3:$A$162,"??/01/*")</f>
      </c>
      <c r="C4" s="6">
        <f>SUMIFS('תשלומים'!$F$3:$F$162,'תשלומים'!$B$3:$B$162,$A4,'תשלומים'!$A$3:$A$162,"??/02/*")</f>
      </c>
      <c r="D4" s="6">
        <f>SUMIFS('תשלומים'!$F$3:$F$162,'תשלומים'!$B$3:$B$162,$A4,'תשלומים'!$A$3:$A$162,"??/03/*")</f>
      </c>
      <c r="E4" s="6">
        <f>SUMIFS('תשלומים'!$F$3:$F$162,'תשלומים'!$B$3:$B$162,$A4,'תשלומים'!$A$3:$A$162,"??/04/*")</f>
      </c>
      <c r="F4" s="6">
        <f>SUMIFS('תשלומים'!$F$3:$F$162,'תשלומים'!$B$3:$B$162,$A4,'תשלומים'!$A$3:$A$162,"??/05/*")</f>
      </c>
      <c r="G4" s="6">
        <f>SUMIFS('תשלומים'!$F$3:$F$162,'תשלומים'!$B$3:$B$162,$A4,'תשלומים'!$A$3:$A$162,"??/06/*")</f>
      </c>
      <c r="H4" s="6">
        <f>SUMIFS('תשלומים'!$F$3:$F$162,'תשלומים'!$B$3:$B$162,$A4,'תשלומים'!$A$3:$A$162,"??/07/*")</f>
      </c>
      <c r="I4" s="6">
        <f>SUMIFS('תשלומים'!$F$3:$F$162,'תשלומים'!$B$3:$B$162,$A4,'תשלומים'!$A$3:$A$162,"??/08/*")</f>
      </c>
      <c r="J4" s="6">
        <f>SUMIFS('תשלומים'!$F$3:$F$162,'תשלומים'!$B$3:$B$162,$A4,'תשלומים'!$A$3:$A$162,"??/09/*")</f>
      </c>
      <c r="K4" s="6">
        <f>SUMIFS('תשלומים'!$F$3:$F$162,'תשלומים'!$B$3:$B$162,$A4,'תשלומים'!$A$3:$A$162,"??/10/*")</f>
      </c>
      <c r="L4" s="6">
        <f>SUMIFS('תשלומים'!$F$3:$F$162,'תשלומים'!$B$3:$B$162,$A4,'תשלומים'!$A$3:$A$162,"??/11/*")</f>
      </c>
      <c r="M4" s="6">
        <f>SUMIFS('תשלומים'!$F$3:$F$162,'תשלומים'!$B$3:$B$162,$A4,'תשלומים'!$A$3:$A$162,"??/12/*")</f>
      </c>
      <c r="N4" s="12">
        <f>SUM(B4:M4)</f>
      </c>
    </row>
    <row r="5">
      <c r="A5" s="3">
        <f>IF('תלמידות'!B5="","",'תלמידות'!B5)</f>
      </c>
      <c r="B5" s="5">
        <f>SUMIFS('תשלומים'!$F$3:$F$162,'תשלומים'!$B$3:$B$162,$A5,'תשלומים'!$A$3:$A$162,"??/01/*")</f>
      </c>
      <c r="C5" s="5">
        <f>SUMIFS('תשלומים'!$F$3:$F$162,'תשלומים'!$B$3:$B$162,$A5,'תשלומים'!$A$3:$A$162,"??/02/*")</f>
      </c>
      <c r="D5" s="5">
        <f>SUMIFS('תשלומים'!$F$3:$F$162,'תשלומים'!$B$3:$B$162,$A5,'תשלומים'!$A$3:$A$162,"??/03/*")</f>
      </c>
      <c r="E5" s="5">
        <f>SUMIFS('תשלומים'!$F$3:$F$162,'תשלומים'!$B$3:$B$162,$A5,'תשלומים'!$A$3:$A$162,"??/04/*")</f>
      </c>
      <c r="F5" s="5">
        <f>SUMIFS('תשלומים'!$F$3:$F$162,'תשלומים'!$B$3:$B$162,$A5,'תשלומים'!$A$3:$A$162,"??/05/*")</f>
      </c>
      <c r="G5" s="5">
        <f>SUMIFS('תשלומים'!$F$3:$F$162,'תשלומים'!$B$3:$B$162,$A5,'תשלומים'!$A$3:$A$162,"??/06/*")</f>
      </c>
      <c r="H5" s="5">
        <f>SUMIFS('תשלומים'!$F$3:$F$162,'תשלומים'!$B$3:$B$162,$A5,'תשלומים'!$A$3:$A$162,"??/07/*")</f>
      </c>
      <c r="I5" s="5">
        <f>SUMIFS('תשלומים'!$F$3:$F$162,'תשלומים'!$B$3:$B$162,$A5,'תשלומים'!$A$3:$A$162,"??/08/*")</f>
      </c>
      <c r="J5" s="5">
        <f>SUMIFS('תשלומים'!$F$3:$F$162,'תשלומים'!$B$3:$B$162,$A5,'תשלומים'!$A$3:$A$162,"??/09/*")</f>
      </c>
      <c r="K5" s="5">
        <f>SUMIFS('תשלומים'!$F$3:$F$162,'תשלומים'!$B$3:$B$162,$A5,'תשלומים'!$A$3:$A$162,"??/10/*")</f>
      </c>
      <c r="L5" s="5">
        <f>SUMIFS('תשלומים'!$F$3:$F$162,'תשלומים'!$B$3:$B$162,$A5,'תשלומים'!$A$3:$A$162,"??/11/*")</f>
      </c>
      <c r="M5" s="5">
        <f>SUMIFS('תשלומים'!$F$3:$F$162,'תשלומים'!$B$3:$B$162,$A5,'תשלומים'!$A$3:$A$162,"??/12/*")</f>
      </c>
      <c r="N5" s="12">
        <f>SUM(B5:M5)</f>
      </c>
    </row>
    <row r="6">
      <c r="A6" s="4">
        <f>IF('תלמידות'!B6="","",'תלמידות'!B6)</f>
      </c>
      <c r="B6" s="6">
        <f>SUMIFS('תשלומים'!$F$3:$F$162,'תשלומים'!$B$3:$B$162,$A6,'תשלומים'!$A$3:$A$162,"??/01/*")</f>
      </c>
      <c r="C6" s="6">
        <f>SUMIFS('תשלומים'!$F$3:$F$162,'תשלומים'!$B$3:$B$162,$A6,'תשלומים'!$A$3:$A$162,"??/02/*")</f>
      </c>
      <c r="D6" s="6">
        <f>SUMIFS('תשלומים'!$F$3:$F$162,'תשלומים'!$B$3:$B$162,$A6,'תשלומים'!$A$3:$A$162,"??/03/*")</f>
      </c>
      <c r="E6" s="6">
        <f>SUMIFS('תשלומים'!$F$3:$F$162,'תשלומים'!$B$3:$B$162,$A6,'תשלומים'!$A$3:$A$162,"??/04/*")</f>
      </c>
      <c r="F6" s="6">
        <f>SUMIFS('תשלומים'!$F$3:$F$162,'תשלומים'!$B$3:$B$162,$A6,'תשלומים'!$A$3:$A$162,"??/05/*")</f>
      </c>
      <c r="G6" s="6">
        <f>SUMIFS('תשלומים'!$F$3:$F$162,'תשלומים'!$B$3:$B$162,$A6,'תשלומים'!$A$3:$A$162,"??/06/*")</f>
      </c>
      <c r="H6" s="6">
        <f>SUMIFS('תשלומים'!$F$3:$F$162,'תשלומים'!$B$3:$B$162,$A6,'תשלומים'!$A$3:$A$162,"??/07/*")</f>
      </c>
      <c r="I6" s="6">
        <f>SUMIFS('תשלומים'!$F$3:$F$162,'תשלומים'!$B$3:$B$162,$A6,'תשלומים'!$A$3:$A$162,"??/08/*")</f>
      </c>
      <c r="J6" s="6">
        <f>SUMIFS('תשלומים'!$F$3:$F$162,'תשלומים'!$B$3:$B$162,$A6,'תשלומים'!$A$3:$A$162,"??/09/*")</f>
      </c>
      <c r="K6" s="6">
        <f>SUMIFS('תשלומים'!$F$3:$F$162,'תשלומים'!$B$3:$B$162,$A6,'תשלומים'!$A$3:$A$162,"??/10/*")</f>
      </c>
      <c r="L6" s="6">
        <f>SUMIFS('תשלומים'!$F$3:$F$162,'תשלומים'!$B$3:$B$162,$A6,'תשלומים'!$A$3:$A$162,"??/11/*")</f>
      </c>
      <c r="M6" s="6">
        <f>SUMIFS('תשלומים'!$F$3:$F$162,'תשלומים'!$B$3:$B$162,$A6,'תשלומים'!$A$3:$A$162,"??/12/*")</f>
      </c>
      <c r="N6" s="12">
        <f>SUM(B6:M6)</f>
      </c>
    </row>
    <row r="7">
      <c r="A7" s="3">
        <f>IF('תלמידות'!B7="","",'תלמידות'!B7)</f>
      </c>
      <c r="B7" s="5">
        <f>SUMIFS('תשלומים'!$F$3:$F$162,'תשלומים'!$B$3:$B$162,$A7,'תשלומים'!$A$3:$A$162,"??/01/*")</f>
      </c>
      <c r="C7" s="5">
        <f>SUMIFS('תשלומים'!$F$3:$F$162,'תשלומים'!$B$3:$B$162,$A7,'תשלומים'!$A$3:$A$162,"??/02/*")</f>
      </c>
      <c r="D7" s="5">
        <f>SUMIFS('תשלומים'!$F$3:$F$162,'תשלומים'!$B$3:$B$162,$A7,'תשלומים'!$A$3:$A$162,"??/03/*")</f>
      </c>
      <c r="E7" s="5">
        <f>SUMIFS('תשלומים'!$F$3:$F$162,'תשלומים'!$B$3:$B$162,$A7,'תשלומים'!$A$3:$A$162,"??/04/*")</f>
      </c>
      <c r="F7" s="5">
        <f>SUMIFS('תשלומים'!$F$3:$F$162,'תשלומים'!$B$3:$B$162,$A7,'תשלומים'!$A$3:$A$162,"??/05/*")</f>
      </c>
      <c r="G7" s="5">
        <f>SUMIFS('תשלומים'!$F$3:$F$162,'תשלומים'!$B$3:$B$162,$A7,'תשלומים'!$A$3:$A$162,"??/06/*")</f>
      </c>
      <c r="H7" s="5">
        <f>SUMIFS('תשלומים'!$F$3:$F$162,'תשלומים'!$B$3:$B$162,$A7,'תשלומים'!$A$3:$A$162,"??/07/*")</f>
      </c>
      <c r="I7" s="5">
        <f>SUMIFS('תשלומים'!$F$3:$F$162,'תשלומים'!$B$3:$B$162,$A7,'תשלומים'!$A$3:$A$162,"??/08/*")</f>
      </c>
      <c r="J7" s="5">
        <f>SUMIFS('תשלומים'!$F$3:$F$162,'תשלומים'!$B$3:$B$162,$A7,'תשלומים'!$A$3:$A$162,"??/09/*")</f>
      </c>
      <c r="K7" s="5">
        <f>SUMIFS('תשלומים'!$F$3:$F$162,'תשלומים'!$B$3:$B$162,$A7,'תשלומים'!$A$3:$A$162,"??/10/*")</f>
      </c>
      <c r="L7" s="5">
        <f>SUMIFS('תשלומים'!$F$3:$F$162,'תשלומים'!$B$3:$B$162,$A7,'תשלומים'!$A$3:$A$162,"??/11/*")</f>
      </c>
      <c r="M7" s="5">
        <f>SUMIFS('תשלומים'!$F$3:$F$162,'תשלומים'!$B$3:$B$162,$A7,'תשלומים'!$A$3:$A$162,"??/12/*")</f>
      </c>
      <c r="N7" s="12">
        <f>SUM(B7:M7)</f>
      </c>
    </row>
    <row r="8">
      <c r="A8" s="4">
        <f>IF('תלמידות'!B8="","",'תלמידות'!B8)</f>
      </c>
      <c r="B8" s="6">
        <f>SUMIFS('תשלומים'!$F$3:$F$162,'תשלומים'!$B$3:$B$162,$A8,'תשלומים'!$A$3:$A$162,"??/01/*")</f>
      </c>
      <c r="C8" s="6">
        <f>SUMIFS('תשלומים'!$F$3:$F$162,'תשלומים'!$B$3:$B$162,$A8,'תשלומים'!$A$3:$A$162,"??/02/*")</f>
      </c>
      <c r="D8" s="6">
        <f>SUMIFS('תשלומים'!$F$3:$F$162,'תשלומים'!$B$3:$B$162,$A8,'תשלומים'!$A$3:$A$162,"??/03/*")</f>
      </c>
      <c r="E8" s="6">
        <f>SUMIFS('תשלומים'!$F$3:$F$162,'תשלומים'!$B$3:$B$162,$A8,'תשלומים'!$A$3:$A$162,"??/04/*")</f>
      </c>
      <c r="F8" s="6">
        <f>SUMIFS('תשלומים'!$F$3:$F$162,'תשלומים'!$B$3:$B$162,$A8,'תשלומים'!$A$3:$A$162,"??/05/*")</f>
      </c>
      <c r="G8" s="6">
        <f>SUMIFS('תשלומים'!$F$3:$F$162,'תשלומים'!$B$3:$B$162,$A8,'תשלומים'!$A$3:$A$162,"??/06/*")</f>
      </c>
      <c r="H8" s="6">
        <f>SUMIFS('תשלומים'!$F$3:$F$162,'תשלומים'!$B$3:$B$162,$A8,'תשלומים'!$A$3:$A$162,"??/07/*")</f>
      </c>
      <c r="I8" s="6">
        <f>SUMIFS('תשלומים'!$F$3:$F$162,'תשלומים'!$B$3:$B$162,$A8,'תשלומים'!$A$3:$A$162,"??/08/*")</f>
      </c>
      <c r="J8" s="6">
        <f>SUMIFS('תשלומים'!$F$3:$F$162,'תשלומים'!$B$3:$B$162,$A8,'תשלומים'!$A$3:$A$162,"??/09/*")</f>
      </c>
      <c r="K8" s="6">
        <f>SUMIFS('תשלומים'!$F$3:$F$162,'תשלומים'!$B$3:$B$162,$A8,'תשלומים'!$A$3:$A$162,"??/10/*")</f>
      </c>
      <c r="L8" s="6">
        <f>SUMIFS('תשלומים'!$F$3:$F$162,'תשלומים'!$B$3:$B$162,$A8,'תשלומים'!$A$3:$A$162,"??/11/*")</f>
      </c>
      <c r="M8" s="6">
        <f>SUMIFS('תשלומים'!$F$3:$F$162,'תשלומים'!$B$3:$B$162,$A8,'תשלומים'!$A$3:$A$162,"??/12/*")</f>
      </c>
      <c r="N8" s="12">
        <f>SUM(B8:M8)</f>
      </c>
    </row>
    <row r="9">
      <c r="A9" s="3">
        <f>IF('תלמידות'!B9="","",'תלמידות'!B9)</f>
      </c>
      <c r="B9" s="5">
        <f>SUMIFS('תשלומים'!$F$3:$F$162,'תשלומים'!$B$3:$B$162,$A9,'תשלומים'!$A$3:$A$162,"??/01/*")</f>
      </c>
      <c r="C9" s="5">
        <f>SUMIFS('תשלומים'!$F$3:$F$162,'תשלומים'!$B$3:$B$162,$A9,'תשלומים'!$A$3:$A$162,"??/02/*")</f>
      </c>
      <c r="D9" s="5">
        <f>SUMIFS('תשלומים'!$F$3:$F$162,'תשלומים'!$B$3:$B$162,$A9,'תשלומים'!$A$3:$A$162,"??/03/*")</f>
      </c>
      <c r="E9" s="5">
        <f>SUMIFS('תשלומים'!$F$3:$F$162,'תשלומים'!$B$3:$B$162,$A9,'תשלומים'!$A$3:$A$162,"??/04/*")</f>
      </c>
      <c r="F9" s="5">
        <f>SUMIFS('תשלומים'!$F$3:$F$162,'תשלומים'!$B$3:$B$162,$A9,'תשלומים'!$A$3:$A$162,"??/05/*")</f>
      </c>
      <c r="G9" s="5">
        <f>SUMIFS('תשלומים'!$F$3:$F$162,'תשלומים'!$B$3:$B$162,$A9,'תשלומים'!$A$3:$A$162,"??/06/*")</f>
      </c>
      <c r="H9" s="5">
        <f>SUMIFS('תשלומים'!$F$3:$F$162,'תשלומים'!$B$3:$B$162,$A9,'תשלומים'!$A$3:$A$162,"??/07/*")</f>
      </c>
      <c r="I9" s="5">
        <f>SUMIFS('תשלומים'!$F$3:$F$162,'תשלומים'!$B$3:$B$162,$A9,'תשלומים'!$A$3:$A$162,"??/08/*")</f>
      </c>
      <c r="J9" s="5">
        <f>SUMIFS('תשלומים'!$F$3:$F$162,'תשלומים'!$B$3:$B$162,$A9,'תשלומים'!$A$3:$A$162,"??/09/*")</f>
      </c>
      <c r="K9" s="5">
        <f>SUMIFS('תשלומים'!$F$3:$F$162,'תשלומים'!$B$3:$B$162,$A9,'תשלומים'!$A$3:$A$162,"??/10/*")</f>
      </c>
      <c r="L9" s="5">
        <f>SUMIFS('תשלומים'!$F$3:$F$162,'תשלומים'!$B$3:$B$162,$A9,'תשלומים'!$A$3:$A$162,"??/11/*")</f>
      </c>
      <c r="M9" s="5">
        <f>SUMIFS('תשלומים'!$F$3:$F$162,'תשלומים'!$B$3:$B$162,$A9,'תשלומים'!$A$3:$A$162,"??/12/*")</f>
      </c>
      <c r="N9" s="12">
        <f>SUM(B9:M9)</f>
      </c>
    </row>
    <row r="10">
      <c r="A10" s="4">
        <f>IF('תלמידות'!B10="","",'תלמידות'!B10)</f>
      </c>
      <c r="B10" s="6">
        <f>SUMIFS('תשלומים'!$F$3:$F$162,'תשלומים'!$B$3:$B$162,$A10,'תשלומים'!$A$3:$A$162,"??/01/*")</f>
      </c>
      <c r="C10" s="6">
        <f>SUMIFS('תשלומים'!$F$3:$F$162,'תשלומים'!$B$3:$B$162,$A10,'תשלומים'!$A$3:$A$162,"??/02/*")</f>
      </c>
      <c r="D10" s="6">
        <f>SUMIFS('תשלומים'!$F$3:$F$162,'תשלומים'!$B$3:$B$162,$A10,'תשלומים'!$A$3:$A$162,"??/03/*")</f>
      </c>
      <c r="E10" s="6">
        <f>SUMIFS('תשלומים'!$F$3:$F$162,'תשלומים'!$B$3:$B$162,$A10,'תשלומים'!$A$3:$A$162,"??/04/*")</f>
      </c>
      <c r="F10" s="6">
        <f>SUMIFS('תשלומים'!$F$3:$F$162,'תשלומים'!$B$3:$B$162,$A10,'תשלומים'!$A$3:$A$162,"??/05/*")</f>
      </c>
      <c r="G10" s="6">
        <f>SUMIFS('תשלומים'!$F$3:$F$162,'תשלומים'!$B$3:$B$162,$A10,'תשלומים'!$A$3:$A$162,"??/06/*")</f>
      </c>
      <c r="H10" s="6">
        <f>SUMIFS('תשלומים'!$F$3:$F$162,'תשלומים'!$B$3:$B$162,$A10,'תשלומים'!$A$3:$A$162,"??/07/*")</f>
      </c>
      <c r="I10" s="6">
        <f>SUMIFS('תשלומים'!$F$3:$F$162,'תשלומים'!$B$3:$B$162,$A10,'תשלומים'!$A$3:$A$162,"??/08/*")</f>
      </c>
      <c r="J10" s="6">
        <f>SUMIFS('תשלומים'!$F$3:$F$162,'תשלומים'!$B$3:$B$162,$A10,'תשלומים'!$A$3:$A$162,"??/09/*")</f>
      </c>
      <c r="K10" s="6">
        <f>SUMIFS('תשלומים'!$F$3:$F$162,'תשלומים'!$B$3:$B$162,$A10,'תשלומים'!$A$3:$A$162,"??/10/*")</f>
      </c>
      <c r="L10" s="6">
        <f>SUMIFS('תשלומים'!$F$3:$F$162,'תשלומים'!$B$3:$B$162,$A10,'תשלומים'!$A$3:$A$162,"??/11/*")</f>
      </c>
      <c r="M10" s="6">
        <f>SUMIFS('תשלומים'!$F$3:$F$162,'תשלומים'!$B$3:$B$162,$A10,'תשלומים'!$A$3:$A$162,"??/12/*")</f>
      </c>
      <c r="N10" s="12">
        <f>SUM(B10:M10)</f>
      </c>
    </row>
    <row r="11">
      <c r="A11" s="3">
        <f>IF('תלמידות'!B11="","",'תלמידות'!B11)</f>
      </c>
      <c r="B11" s="5">
        <f>SUMIFS('תשלומים'!$F$3:$F$162,'תשלומים'!$B$3:$B$162,$A11,'תשלומים'!$A$3:$A$162,"??/01/*")</f>
      </c>
      <c r="C11" s="5">
        <f>SUMIFS('תשלומים'!$F$3:$F$162,'תשלומים'!$B$3:$B$162,$A11,'תשלומים'!$A$3:$A$162,"??/02/*")</f>
      </c>
      <c r="D11" s="5">
        <f>SUMIFS('תשלומים'!$F$3:$F$162,'תשלומים'!$B$3:$B$162,$A11,'תשלומים'!$A$3:$A$162,"??/03/*")</f>
      </c>
      <c r="E11" s="5">
        <f>SUMIFS('תשלומים'!$F$3:$F$162,'תשלומים'!$B$3:$B$162,$A11,'תשלומים'!$A$3:$A$162,"??/04/*")</f>
      </c>
      <c r="F11" s="5">
        <f>SUMIFS('תשלומים'!$F$3:$F$162,'תשלומים'!$B$3:$B$162,$A11,'תשלומים'!$A$3:$A$162,"??/05/*")</f>
      </c>
      <c r="G11" s="5">
        <f>SUMIFS('תשלומים'!$F$3:$F$162,'תשלומים'!$B$3:$B$162,$A11,'תשלומים'!$A$3:$A$162,"??/06/*")</f>
      </c>
      <c r="H11" s="5">
        <f>SUMIFS('תשלומים'!$F$3:$F$162,'תשלומים'!$B$3:$B$162,$A11,'תשלומים'!$A$3:$A$162,"??/07/*")</f>
      </c>
      <c r="I11" s="5">
        <f>SUMIFS('תשלומים'!$F$3:$F$162,'תשלומים'!$B$3:$B$162,$A11,'תשלומים'!$A$3:$A$162,"??/08/*")</f>
      </c>
      <c r="J11" s="5">
        <f>SUMIFS('תשלומים'!$F$3:$F$162,'תשלומים'!$B$3:$B$162,$A11,'תשלומים'!$A$3:$A$162,"??/09/*")</f>
      </c>
      <c r="K11" s="5">
        <f>SUMIFS('תשלומים'!$F$3:$F$162,'תשלומים'!$B$3:$B$162,$A11,'תשלומים'!$A$3:$A$162,"??/10/*")</f>
      </c>
      <c r="L11" s="5">
        <f>SUMIFS('תשלומים'!$F$3:$F$162,'תשלומים'!$B$3:$B$162,$A11,'תשלומים'!$A$3:$A$162,"??/11/*")</f>
      </c>
      <c r="M11" s="5">
        <f>SUMIFS('תשלומים'!$F$3:$F$162,'תשלומים'!$B$3:$B$162,$A11,'תשלומים'!$A$3:$A$162,"??/12/*")</f>
      </c>
      <c r="N11" s="12">
        <f>SUM(B11:M11)</f>
      </c>
    </row>
    <row r="12">
      <c r="A12" s="4">
        <f>IF('תלמידות'!B12="","",'תלמידות'!B12)</f>
      </c>
      <c r="B12" s="6">
        <f>SUMIFS('תשלומים'!$F$3:$F$162,'תשלומים'!$B$3:$B$162,$A12,'תשלומים'!$A$3:$A$162,"??/01/*")</f>
      </c>
      <c r="C12" s="6">
        <f>SUMIFS('תשלומים'!$F$3:$F$162,'תשלומים'!$B$3:$B$162,$A12,'תשלומים'!$A$3:$A$162,"??/02/*")</f>
      </c>
      <c r="D12" s="6">
        <f>SUMIFS('תשלומים'!$F$3:$F$162,'תשלומים'!$B$3:$B$162,$A12,'תשלומים'!$A$3:$A$162,"??/03/*")</f>
      </c>
      <c r="E12" s="6">
        <f>SUMIFS('תשלומים'!$F$3:$F$162,'תשלומים'!$B$3:$B$162,$A12,'תשלומים'!$A$3:$A$162,"??/04/*")</f>
      </c>
      <c r="F12" s="6">
        <f>SUMIFS('תשלומים'!$F$3:$F$162,'תשלומים'!$B$3:$B$162,$A12,'תשלומים'!$A$3:$A$162,"??/05/*")</f>
      </c>
      <c r="G12" s="6">
        <f>SUMIFS('תשלומים'!$F$3:$F$162,'תשלומים'!$B$3:$B$162,$A12,'תשלומים'!$A$3:$A$162,"??/06/*")</f>
      </c>
      <c r="H12" s="6">
        <f>SUMIFS('תשלומים'!$F$3:$F$162,'תשלומים'!$B$3:$B$162,$A12,'תשלומים'!$A$3:$A$162,"??/07/*")</f>
      </c>
      <c r="I12" s="6">
        <f>SUMIFS('תשלומים'!$F$3:$F$162,'תשלומים'!$B$3:$B$162,$A12,'תשלומים'!$A$3:$A$162,"??/08/*")</f>
      </c>
      <c r="J12" s="6">
        <f>SUMIFS('תשלומים'!$F$3:$F$162,'תשלומים'!$B$3:$B$162,$A12,'תשלומים'!$A$3:$A$162,"??/09/*")</f>
      </c>
      <c r="K12" s="6">
        <f>SUMIFS('תשלומים'!$F$3:$F$162,'תשלומים'!$B$3:$B$162,$A12,'תשלומים'!$A$3:$A$162,"??/10/*")</f>
      </c>
      <c r="L12" s="6">
        <f>SUMIFS('תשלומים'!$F$3:$F$162,'תשלומים'!$B$3:$B$162,$A12,'תשלומים'!$A$3:$A$162,"??/11/*")</f>
      </c>
      <c r="M12" s="6">
        <f>SUMIFS('תשלומים'!$F$3:$F$162,'תשלומים'!$B$3:$B$162,$A12,'תשלומים'!$A$3:$A$162,"??/12/*")</f>
      </c>
      <c r="N12" s="12">
        <f>SUM(B12:M12)</f>
      </c>
    </row>
    <row r="13">
      <c r="A13" s="3">
        <f>IF('תלמידות'!B13="","",'תלמידות'!B13)</f>
      </c>
      <c r="B13" s="5">
        <f>SUMIFS('תשלומים'!$F$3:$F$162,'תשלומים'!$B$3:$B$162,$A13,'תשלומים'!$A$3:$A$162,"??/01/*")</f>
      </c>
      <c r="C13" s="5">
        <f>SUMIFS('תשלומים'!$F$3:$F$162,'תשלומים'!$B$3:$B$162,$A13,'תשלומים'!$A$3:$A$162,"??/02/*")</f>
      </c>
      <c r="D13" s="5">
        <f>SUMIFS('תשלומים'!$F$3:$F$162,'תשלומים'!$B$3:$B$162,$A13,'תשלומים'!$A$3:$A$162,"??/03/*")</f>
      </c>
      <c r="E13" s="5">
        <f>SUMIFS('תשלומים'!$F$3:$F$162,'תשלומים'!$B$3:$B$162,$A13,'תשלומים'!$A$3:$A$162,"??/04/*")</f>
      </c>
      <c r="F13" s="5">
        <f>SUMIFS('תשלומים'!$F$3:$F$162,'תשלומים'!$B$3:$B$162,$A13,'תשלומים'!$A$3:$A$162,"??/05/*")</f>
      </c>
      <c r="G13" s="5">
        <f>SUMIFS('תשלומים'!$F$3:$F$162,'תשלומים'!$B$3:$B$162,$A13,'תשלומים'!$A$3:$A$162,"??/06/*")</f>
      </c>
      <c r="H13" s="5">
        <f>SUMIFS('תשלומים'!$F$3:$F$162,'תשלומים'!$B$3:$B$162,$A13,'תשלומים'!$A$3:$A$162,"??/07/*")</f>
      </c>
      <c r="I13" s="5">
        <f>SUMIFS('תשלומים'!$F$3:$F$162,'תשלומים'!$B$3:$B$162,$A13,'תשלומים'!$A$3:$A$162,"??/08/*")</f>
      </c>
      <c r="J13" s="5">
        <f>SUMIFS('תשלומים'!$F$3:$F$162,'תשלומים'!$B$3:$B$162,$A13,'תשלומים'!$A$3:$A$162,"??/09/*")</f>
      </c>
      <c r="K13" s="5">
        <f>SUMIFS('תשלומים'!$F$3:$F$162,'תשלומים'!$B$3:$B$162,$A13,'תשלומים'!$A$3:$A$162,"??/10/*")</f>
      </c>
      <c r="L13" s="5">
        <f>SUMIFS('תשלומים'!$F$3:$F$162,'תשלומים'!$B$3:$B$162,$A13,'תשלומים'!$A$3:$A$162,"??/11/*")</f>
      </c>
      <c r="M13" s="5">
        <f>SUMIFS('תשלומים'!$F$3:$F$162,'תשלומים'!$B$3:$B$162,$A13,'תשלומים'!$A$3:$A$162,"??/12/*")</f>
      </c>
      <c r="N13" s="12">
        <f>SUM(B13:M13)</f>
      </c>
    </row>
    <row r="14">
      <c r="A14" s="4">
        <f>IF('תלמידות'!B14="","",'תלמידות'!B14)</f>
      </c>
      <c r="B14" s="6">
        <f>SUMIFS('תשלומים'!$F$3:$F$162,'תשלומים'!$B$3:$B$162,$A14,'תשלומים'!$A$3:$A$162,"??/01/*")</f>
      </c>
      <c r="C14" s="6">
        <f>SUMIFS('תשלומים'!$F$3:$F$162,'תשלומים'!$B$3:$B$162,$A14,'תשלומים'!$A$3:$A$162,"??/02/*")</f>
      </c>
      <c r="D14" s="6">
        <f>SUMIFS('תשלומים'!$F$3:$F$162,'תשלומים'!$B$3:$B$162,$A14,'תשלומים'!$A$3:$A$162,"??/03/*")</f>
      </c>
      <c r="E14" s="6">
        <f>SUMIFS('תשלומים'!$F$3:$F$162,'תשלומים'!$B$3:$B$162,$A14,'תשלומים'!$A$3:$A$162,"??/04/*")</f>
      </c>
      <c r="F14" s="6">
        <f>SUMIFS('תשלומים'!$F$3:$F$162,'תשלומים'!$B$3:$B$162,$A14,'תשלומים'!$A$3:$A$162,"??/05/*")</f>
      </c>
      <c r="G14" s="6">
        <f>SUMIFS('תשלומים'!$F$3:$F$162,'תשלומים'!$B$3:$B$162,$A14,'תשלומים'!$A$3:$A$162,"??/06/*")</f>
      </c>
      <c r="H14" s="6">
        <f>SUMIFS('תשלומים'!$F$3:$F$162,'תשלומים'!$B$3:$B$162,$A14,'תשלומים'!$A$3:$A$162,"??/07/*")</f>
      </c>
      <c r="I14" s="6">
        <f>SUMIFS('תשלומים'!$F$3:$F$162,'תשלומים'!$B$3:$B$162,$A14,'תשלומים'!$A$3:$A$162,"??/08/*")</f>
      </c>
      <c r="J14" s="6">
        <f>SUMIFS('תשלומים'!$F$3:$F$162,'תשלומים'!$B$3:$B$162,$A14,'תשלומים'!$A$3:$A$162,"??/09/*")</f>
      </c>
      <c r="K14" s="6">
        <f>SUMIFS('תשלומים'!$F$3:$F$162,'תשלומים'!$B$3:$B$162,$A14,'תשלומים'!$A$3:$A$162,"??/10/*")</f>
      </c>
      <c r="L14" s="6">
        <f>SUMIFS('תשלומים'!$F$3:$F$162,'תשלומים'!$B$3:$B$162,$A14,'תשלומים'!$A$3:$A$162,"??/11/*")</f>
      </c>
      <c r="M14" s="6">
        <f>SUMIFS('תשלומים'!$F$3:$F$162,'תשלומים'!$B$3:$B$162,$A14,'תשלומים'!$A$3:$A$162,"??/12/*")</f>
      </c>
      <c r="N14" s="12">
        <f>SUM(B14:M14)</f>
      </c>
    </row>
    <row r="15">
      <c r="A15" s="3">
        <f>IF('תלמידות'!B15="","",'תלמידות'!B15)</f>
      </c>
      <c r="B15" s="5">
        <f>SUMIFS('תשלומים'!$F$3:$F$162,'תשלומים'!$B$3:$B$162,$A15,'תשלומים'!$A$3:$A$162,"??/01/*")</f>
      </c>
      <c r="C15" s="5">
        <f>SUMIFS('תשלומים'!$F$3:$F$162,'תשלומים'!$B$3:$B$162,$A15,'תשלומים'!$A$3:$A$162,"??/02/*")</f>
      </c>
      <c r="D15" s="5">
        <f>SUMIFS('תשלומים'!$F$3:$F$162,'תשלומים'!$B$3:$B$162,$A15,'תשלומים'!$A$3:$A$162,"??/03/*")</f>
      </c>
      <c r="E15" s="5">
        <f>SUMIFS('תשלומים'!$F$3:$F$162,'תשלומים'!$B$3:$B$162,$A15,'תשלומים'!$A$3:$A$162,"??/04/*")</f>
      </c>
      <c r="F15" s="5">
        <f>SUMIFS('תשלומים'!$F$3:$F$162,'תשלומים'!$B$3:$B$162,$A15,'תשלומים'!$A$3:$A$162,"??/05/*")</f>
      </c>
      <c r="G15" s="5">
        <f>SUMIFS('תשלומים'!$F$3:$F$162,'תשלומים'!$B$3:$B$162,$A15,'תשלומים'!$A$3:$A$162,"??/06/*")</f>
      </c>
      <c r="H15" s="5">
        <f>SUMIFS('תשלומים'!$F$3:$F$162,'תשלומים'!$B$3:$B$162,$A15,'תשלומים'!$A$3:$A$162,"??/07/*")</f>
      </c>
      <c r="I15" s="5">
        <f>SUMIFS('תשלומים'!$F$3:$F$162,'תשלומים'!$B$3:$B$162,$A15,'תשלומים'!$A$3:$A$162,"??/08/*")</f>
      </c>
      <c r="J15" s="5">
        <f>SUMIFS('תשלומים'!$F$3:$F$162,'תשלומים'!$B$3:$B$162,$A15,'תשלומים'!$A$3:$A$162,"??/09/*")</f>
      </c>
      <c r="K15" s="5">
        <f>SUMIFS('תשלומים'!$F$3:$F$162,'תשלומים'!$B$3:$B$162,$A15,'תשלומים'!$A$3:$A$162,"??/10/*")</f>
      </c>
      <c r="L15" s="5">
        <f>SUMIFS('תשלומים'!$F$3:$F$162,'תשלומים'!$B$3:$B$162,$A15,'תשלומים'!$A$3:$A$162,"??/11/*")</f>
      </c>
      <c r="M15" s="5">
        <f>SUMIFS('תשלומים'!$F$3:$F$162,'תשלומים'!$B$3:$B$162,$A15,'תשלומים'!$A$3:$A$162,"??/12/*")</f>
      </c>
      <c r="N15" s="12">
        <f>SUM(B15:M15)</f>
      </c>
    </row>
    <row r="16">
      <c r="A16" s="4">
        <f>IF('תלמידות'!B16="","",'תלמידות'!B16)</f>
      </c>
      <c r="B16" s="6">
        <f>SUMIFS('תשלומים'!$F$3:$F$162,'תשלומים'!$B$3:$B$162,$A16,'תשלומים'!$A$3:$A$162,"??/01/*")</f>
      </c>
      <c r="C16" s="6">
        <f>SUMIFS('תשלומים'!$F$3:$F$162,'תשלומים'!$B$3:$B$162,$A16,'תשלומים'!$A$3:$A$162,"??/02/*")</f>
      </c>
      <c r="D16" s="6">
        <f>SUMIFS('תשלומים'!$F$3:$F$162,'תשלומים'!$B$3:$B$162,$A16,'תשלומים'!$A$3:$A$162,"??/03/*")</f>
      </c>
      <c r="E16" s="6">
        <f>SUMIFS('תשלומים'!$F$3:$F$162,'תשלומים'!$B$3:$B$162,$A16,'תשלומים'!$A$3:$A$162,"??/04/*")</f>
      </c>
      <c r="F16" s="6">
        <f>SUMIFS('תשלומים'!$F$3:$F$162,'תשלומים'!$B$3:$B$162,$A16,'תשלומים'!$A$3:$A$162,"??/05/*")</f>
      </c>
      <c r="G16" s="6">
        <f>SUMIFS('תשלומים'!$F$3:$F$162,'תשלומים'!$B$3:$B$162,$A16,'תשלומים'!$A$3:$A$162,"??/06/*")</f>
      </c>
      <c r="H16" s="6">
        <f>SUMIFS('תשלומים'!$F$3:$F$162,'תשלומים'!$B$3:$B$162,$A16,'תשלומים'!$A$3:$A$162,"??/07/*")</f>
      </c>
      <c r="I16" s="6">
        <f>SUMIFS('תשלומים'!$F$3:$F$162,'תשלומים'!$B$3:$B$162,$A16,'תשלומים'!$A$3:$A$162,"??/08/*")</f>
      </c>
      <c r="J16" s="6">
        <f>SUMIFS('תשלומים'!$F$3:$F$162,'תשלומים'!$B$3:$B$162,$A16,'תשלומים'!$A$3:$A$162,"??/09/*")</f>
      </c>
      <c r="K16" s="6">
        <f>SUMIFS('תשלומים'!$F$3:$F$162,'תשלומים'!$B$3:$B$162,$A16,'תשלומים'!$A$3:$A$162,"??/10/*")</f>
      </c>
      <c r="L16" s="6">
        <f>SUMIFS('תשלומים'!$F$3:$F$162,'תשלומים'!$B$3:$B$162,$A16,'תשלומים'!$A$3:$A$162,"??/11/*")</f>
      </c>
      <c r="M16" s="6">
        <f>SUMIFS('תשלומים'!$F$3:$F$162,'תשלומים'!$B$3:$B$162,$A16,'תשלומים'!$A$3:$A$162,"??/12/*")</f>
      </c>
      <c r="N16" s="12">
        <f>SUM(B16:M16)</f>
      </c>
    </row>
    <row r="17">
      <c r="A17" s="3">
        <f>IF('תלמידות'!B17="","",'תלמידות'!B17)</f>
      </c>
      <c r="B17" s="5">
        <f>SUMIFS('תשלומים'!$F$3:$F$162,'תשלומים'!$B$3:$B$162,$A17,'תשלומים'!$A$3:$A$162,"??/01/*")</f>
      </c>
      <c r="C17" s="5">
        <f>SUMIFS('תשלומים'!$F$3:$F$162,'תשלומים'!$B$3:$B$162,$A17,'תשלומים'!$A$3:$A$162,"??/02/*")</f>
      </c>
      <c r="D17" s="5">
        <f>SUMIFS('תשלומים'!$F$3:$F$162,'תשלומים'!$B$3:$B$162,$A17,'תשלומים'!$A$3:$A$162,"??/03/*")</f>
      </c>
      <c r="E17" s="5">
        <f>SUMIFS('תשלומים'!$F$3:$F$162,'תשלומים'!$B$3:$B$162,$A17,'תשלומים'!$A$3:$A$162,"??/04/*")</f>
      </c>
      <c r="F17" s="5">
        <f>SUMIFS('תשלומים'!$F$3:$F$162,'תשלומים'!$B$3:$B$162,$A17,'תשלומים'!$A$3:$A$162,"??/05/*")</f>
      </c>
      <c r="G17" s="5">
        <f>SUMIFS('תשלומים'!$F$3:$F$162,'תשלומים'!$B$3:$B$162,$A17,'תשלומים'!$A$3:$A$162,"??/06/*")</f>
      </c>
      <c r="H17" s="5">
        <f>SUMIFS('תשלומים'!$F$3:$F$162,'תשלומים'!$B$3:$B$162,$A17,'תשלומים'!$A$3:$A$162,"??/07/*")</f>
      </c>
      <c r="I17" s="5">
        <f>SUMIFS('תשלומים'!$F$3:$F$162,'תשלומים'!$B$3:$B$162,$A17,'תשלומים'!$A$3:$A$162,"??/08/*")</f>
      </c>
      <c r="J17" s="5">
        <f>SUMIFS('תשלומים'!$F$3:$F$162,'תשלומים'!$B$3:$B$162,$A17,'תשלומים'!$A$3:$A$162,"??/09/*")</f>
      </c>
      <c r="K17" s="5">
        <f>SUMIFS('תשלומים'!$F$3:$F$162,'תשלומים'!$B$3:$B$162,$A17,'תשלומים'!$A$3:$A$162,"??/10/*")</f>
      </c>
      <c r="L17" s="5">
        <f>SUMIFS('תשלומים'!$F$3:$F$162,'תשלומים'!$B$3:$B$162,$A17,'תשלומים'!$A$3:$A$162,"??/11/*")</f>
      </c>
      <c r="M17" s="5">
        <f>SUMIFS('תשלומים'!$F$3:$F$162,'תשלומים'!$B$3:$B$162,$A17,'תשלומים'!$A$3:$A$162,"??/12/*")</f>
      </c>
      <c r="N17" s="12">
        <f>SUM(B17:M17)</f>
      </c>
    </row>
    <row r="18">
      <c r="A18" s="4">
        <f>IF('תלמידות'!B18="","",'תלמידות'!B18)</f>
      </c>
      <c r="B18" s="6">
        <f>SUMIFS('תשלומים'!$F$3:$F$162,'תשלומים'!$B$3:$B$162,$A18,'תשלומים'!$A$3:$A$162,"??/01/*")</f>
      </c>
      <c r="C18" s="6">
        <f>SUMIFS('תשלומים'!$F$3:$F$162,'תשלומים'!$B$3:$B$162,$A18,'תשלומים'!$A$3:$A$162,"??/02/*")</f>
      </c>
      <c r="D18" s="6">
        <f>SUMIFS('תשלומים'!$F$3:$F$162,'תשלומים'!$B$3:$B$162,$A18,'תשלומים'!$A$3:$A$162,"??/03/*")</f>
      </c>
      <c r="E18" s="6">
        <f>SUMIFS('תשלומים'!$F$3:$F$162,'תשלומים'!$B$3:$B$162,$A18,'תשלומים'!$A$3:$A$162,"??/04/*")</f>
      </c>
      <c r="F18" s="6">
        <f>SUMIFS('תשלומים'!$F$3:$F$162,'תשלומים'!$B$3:$B$162,$A18,'תשלומים'!$A$3:$A$162,"??/05/*")</f>
      </c>
      <c r="G18" s="6">
        <f>SUMIFS('תשלומים'!$F$3:$F$162,'תשלומים'!$B$3:$B$162,$A18,'תשלומים'!$A$3:$A$162,"??/06/*")</f>
      </c>
      <c r="H18" s="6">
        <f>SUMIFS('תשלומים'!$F$3:$F$162,'תשלומים'!$B$3:$B$162,$A18,'תשלומים'!$A$3:$A$162,"??/07/*")</f>
      </c>
      <c r="I18" s="6">
        <f>SUMIFS('תשלומים'!$F$3:$F$162,'תשלומים'!$B$3:$B$162,$A18,'תשלומים'!$A$3:$A$162,"??/08/*")</f>
      </c>
      <c r="J18" s="6">
        <f>SUMIFS('תשלומים'!$F$3:$F$162,'תשלומים'!$B$3:$B$162,$A18,'תשלומים'!$A$3:$A$162,"??/09/*")</f>
      </c>
      <c r="K18" s="6">
        <f>SUMIFS('תשלומים'!$F$3:$F$162,'תשלומים'!$B$3:$B$162,$A18,'תשלומים'!$A$3:$A$162,"??/10/*")</f>
      </c>
      <c r="L18" s="6">
        <f>SUMIFS('תשלומים'!$F$3:$F$162,'תשלומים'!$B$3:$B$162,$A18,'תשלומים'!$A$3:$A$162,"??/11/*")</f>
      </c>
      <c r="M18" s="6">
        <f>SUMIFS('תשלומים'!$F$3:$F$162,'תשלומים'!$B$3:$B$162,$A18,'תשלומים'!$A$3:$A$162,"??/12/*")</f>
      </c>
      <c r="N18" s="12">
        <f>SUM(B18:M18)</f>
      </c>
    </row>
    <row r="19">
      <c r="A19" s="3">
        <f>IF('תלמידות'!B19="","",'תלמידות'!B19)</f>
      </c>
      <c r="B19" s="5">
        <f>SUMIFS('תשלומים'!$F$3:$F$162,'תשלומים'!$B$3:$B$162,$A19,'תשלומים'!$A$3:$A$162,"??/01/*")</f>
      </c>
      <c r="C19" s="5">
        <f>SUMIFS('תשלומים'!$F$3:$F$162,'תשלומים'!$B$3:$B$162,$A19,'תשלומים'!$A$3:$A$162,"??/02/*")</f>
      </c>
      <c r="D19" s="5">
        <f>SUMIFS('תשלומים'!$F$3:$F$162,'תשלומים'!$B$3:$B$162,$A19,'תשלומים'!$A$3:$A$162,"??/03/*")</f>
      </c>
      <c r="E19" s="5">
        <f>SUMIFS('תשלומים'!$F$3:$F$162,'תשלומים'!$B$3:$B$162,$A19,'תשלומים'!$A$3:$A$162,"??/04/*")</f>
      </c>
      <c r="F19" s="5">
        <f>SUMIFS('תשלומים'!$F$3:$F$162,'תשלומים'!$B$3:$B$162,$A19,'תשלומים'!$A$3:$A$162,"??/05/*")</f>
      </c>
      <c r="G19" s="5">
        <f>SUMIFS('תשלומים'!$F$3:$F$162,'תשלומים'!$B$3:$B$162,$A19,'תשלומים'!$A$3:$A$162,"??/06/*")</f>
      </c>
      <c r="H19" s="5">
        <f>SUMIFS('תשלומים'!$F$3:$F$162,'תשלומים'!$B$3:$B$162,$A19,'תשלומים'!$A$3:$A$162,"??/07/*")</f>
      </c>
      <c r="I19" s="5">
        <f>SUMIFS('תשלומים'!$F$3:$F$162,'תשלומים'!$B$3:$B$162,$A19,'תשלומים'!$A$3:$A$162,"??/08/*")</f>
      </c>
      <c r="J19" s="5">
        <f>SUMIFS('תשלומים'!$F$3:$F$162,'תשלומים'!$B$3:$B$162,$A19,'תשלומים'!$A$3:$A$162,"??/09/*")</f>
      </c>
      <c r="K19" s="5">
        <f>SUMIFS('תשלומים'!$F$3:$F$162,'תשלומים'!$B$3:$B$162,$A19,'תשלומים'!$A$3:$A$162,"??/10/*")</f>
      </c>
      <c r="L19" s="5">
        <f>SUMIFS('תשלומים'!$F$3:$F$162,'תשלומים'!$B$3:$B$162,$A19,'תשלומים'!$A$3:$A$162,"??/11/*")</f>
      </c>
      <c r="M19" s="5">
        <f>SUMIFS('תשלומים'!$F$3:$F$162,'תשלומים'!$B$3:$B$162,$A19,'תשלומים'!$A$3:$A$162,"??/12/*")</f>
      </c>
      <c r="N19" s="12">
        <f>SUM(B19:M19)</f>
      </c>
    </row>
    <row r="20">
      <c r="A20" s="4">
        <f>IF('תלמידות'!B20="","",'תלמידות'!B20)</f>
      </c>
      <c r="B20" s="6">
        <f>SUMIFS('תשלומים'!$F$3:$F$162,'תשלומים'!$B$3:$B$162,$A20,'תשלומים'!$A$3:$A$162,"??/01/*")</f>
      </c>
      <c r="C20" s="6">
        <f>SUMIFS('תשלומים'!$F$3:$F$162,'תשלומים'!$B$3:$B$162,$A20,'תשלומים'!$A$3:$A$162,"??/02/*")</f>
      </c>
      <c r="D20" s="6">
        <f>SUMIFS('תשלומים'!$F$3:$F$162,'תשלומים'!$B$3:$B$162,$A20,'תשלומים'!$A$3:$A$162,"??/03/*")</f>
      </c>
      <c r="E20" s="6">
        <f>SUMIFS('תשלומים'!$F$3:$F$162,'תשלומים'!$B$3:$B$162,$A20,'תשלומים'!$A$3:$A$162,"??/04/*")</f>
      </c>
      <c r="F20" s="6">
        <f>SUMIFS('תשלומים'!$F$3:$F$162,'תשלומים'!$B$3:$B$162,$A20,'תשלומים'!$A$3:$A$162,"??/05/*")</f>
      </c>
      <c r="G20" s="6">
        <f>SUMIFS('תשלומים'!$F$3:$F$162,'תשלומים'!$B$3:$B$162,$A20,'תשלומים'!$A$3:$A$162,"??/06/*")</f>
      </c>
      <c r="H20" s="6">
        <f>SUMIFS('תשלומים'!$F$3:$F$162,'תשלומים'!$B$3:$B$162,$A20,'תשלומים'!$A$3:$A$162,"??/07/*")</f>
      </c>
      <c r="I20" s="6">
        <f>SUMIFS('תשלומים'!$F$3:$F$162,'תשלומים'!$B$3:$B$162,$A20,'תשלומים'!$A$3:$A$162,"??/08/*")</f>
      </c>
      <c r="J20" s="6">
        <f>SUMIFS('תשלומים'!$F$3:$F$162,'תשלומים'!$B$3:$B$162,$A20,'תשלומים'!$A$3:$A$162,"??/09/*")</f>
      </c>
      <c r="K20" s="6">
        <f>SUMIFS('תשלומים'!$F$3:$F$162,'תשלומים'!$B$3:$B$162,$A20,'תשלומים'!$A$3:$A$162,"??/10/*")</f>
      </c>
      <c r="L20" s="6">
        <f>SUMIFS('תשלומים'!$F$3:$F$162,'תשלומים'!$B$3:$B$162,$A20,'תשלומים'!$A$3:$A$162,"??/11/*")</f>
      </c>
      <c r="M20" s="6">
        <f>SUMIFS('תשלומים'!$F$3:$F$162,'תשלומים'!$B$3:$B$162,$A20,'תשלומים'!$A$3:$A$162,"??/12/*")</f>
      </c>
      <c r="N20" s="12">
        <f>SUM(B20:M20)</f>
      </c>
    </row>
    <row r="21">
      <c r="A21" s="3">
        <f>IF('תלמידות'!B21="","",'תלמידות'!B21)</f>
      </c>
      <c r="B21" s="5">
        <f>SUMIFS('תשלומים'!$F$3:$F$162,'תשלומים'!$B$3:$B$162,$A21,'תשלומים'!$A$3:$A$162,"??/01/*")</f>
      </c>
      <c r="C21" s="5">
        <f>SUMIFS('תשלומים'!$F$3:$F$162,'תשלומים'!$B$3:$B$162,$A21,'תשלומים'!$A$3:$A$162,"??/02/*")</f>
      </c>
      <c r="D21" s="5">
        <f>SUMIFS('תשלומים'!$F$3:$F$162,'תשלומים'!$B$3:$B$162,$A21,'תשלומים'!$A$3:$A$162,"??/03/*")</f>
      </c>
      <c r="E21" s="5">
        <f>SUMIFS('תשלומים'!$F$3:$F$162,'תשלומים'!$B$3:$B$162,$A21,'תשלומים'!$A$3:$A$162,"??/04/*")</f>
      </c>
      <c r="F21" s="5">
        <f>SUMIFS('תשלומים'!$F$3:$F$162,'תשלומים'!$B$3:$B$162,$A21,'תשלומים'!$A$3:$A$162,"??/05/*")</f>
      </c>
      <c r="G21" s="5">
        <f>SUMIFS('תשלומים'!$F$3:$F$162,'תשלומים'!$B$3:$B$162,$A21,'תשלומים'!$A$3:$A$162,"??/06/*")</f>
      </c>
      <c r="H21" s="5">
        <f>SUMIFS('תשלומים'!$F$3:$F$162,'תשלומים'!$B$3:$B$162,$A21,'תשלומים'!$A$3:$A$162,"??/07/*")</f>
      </c>
      <c r="I21" s="5">
        <f>SUMIFS('תשלומים'!$F$3:$F$162,'תשלומים'!$B$3:$B$162,$A21,'תשלומים'!$A$3:$A$162,"??/08/*")</f>
      </c>
      <c r="J21" s="5">
        <f>SUMIFS('תשלומים'!$F$3:$F$162,'תשלומים'!$B$3:$B$162,$A21,'תשלומים'!$A$3:$A$162,"??/09/*")</f>
      </c>
      <c r="K21" s="5">
        <f>SUMIFS('תשלומים'!$F$3:$F$162,'תשלומים'!$B$3:$B$162,$A21,'תשלומים'!$A$3:$A$162,"??/10/*")</f>
      </c>
      <c r="L21" s="5">
        <f>SUMIFS('תשלומים'!$F$3:$F$162,'תשלומים'!$B$3:$B$162,$A21,'תשלומים'!$A$3:$A$162,"??/11/*")</f>
      </c>
      <c r="M21" s="5">
        <f>SUMIFS('תשלומים'!$F$3:$F$162,'תשלומים'!$B$3:$B$162,$A21,'תשלומים'!$A$3:$A$162,"??/12/*")</f>
      </c>
      <c r="N21" s="12">
        <f>SUM(B21:M21)</f>
      </c>
    </row>
    <row r="22">
      <c r="A22" s="4">
        <f>IF('תלמידות'!B22="","",'תלמידות'!B22)</f>
      </c>
      <c r="B22" s="6">
        <f>SUMIFS('תשלומים'!$F$3:$F$162,'תשלומים'!$B$3:$B$162,$A22,'תשלומים'!$A$3:$A$162,"??/01/*")</f>
      </c>
      <c r="C22" s="6">
        <f>SUMIFS('תשלומים'!$F$3:$F$162,'תשלומים'!$B$3:$B$162,$A22,'תשלומים'!$A$3:$A$162,"??/02/*")</f>
      </c>
      <c r="D22" s="6">
        <f>SUMIFS('תשלומים'!$F$3:$F$162,'תשלומים'!$B$3:$B$162,$A22,'תשלומים'!$A$3:$A$162,"??/03/*")</f>
      </c>
      <c r="E22" s="6">
        <f>SUMIFS('תשלומים'!$F$3:$F$162,'תשלומים'!$B$3:$B$162,$A22,'תשלומים'!$A$3:$A$162,"??/04/*")</f>
      </c>
      <c r="F22" s="6">
        <f>SUMIFS('תשלומים'!$F$3:$F$162,'תשלומים'!$B$3:$B$162,$A22,'תשלומים'!$A$3:$A$162,"??/05/*")</f>
      </c>
      <c r="G22" s="6">
        <f>SUMIFS('תשלומים'!$F$3:$F$162,'תשלומים'!$B$3:$B$162,$A22,'תשלומים'!$A$3:$A$162,"??/06/*")</f>
      </c>
      <c r="H22" s="6">
        <f>SUMIFS('תשלומים'!$F$3:$F$162,'תשלומים'!$B$3:$B$162,$A22,'תשלומים'!$A$3:$A$162,"??/07/*")</f>
      </c>
      <c r="I22" s="6">
        <f>SUMIFS('תשלומים'!$F$3:$F$162,'תשלומים'!$B$3:$B$162,$A22,'תשלומים'!$A$3:$A$162,"??/08/*")</f>
      </c>
      <c r="J22" s="6">
        <f>SUMIFS('תשלומים'!$F$3:$F$162,'תשלומים'!$B$3:$B$162,$A22,'תשלומים'!$A$3:$A$162,"??/09/*")</f>
      </c>
      <c r="K22" s="6">
        <f>SUMIFS('תשלומים'!$F$3:$F$162,'תשלומים'!$B$3:$B$162,$A22,'תשלומים'!$A$3:$A$162,"??/10/*")</f>
      </c>
      <c r="L22" s="6">
        <f>SUMIFS('תשלומים'!$F$3:$F$162,'תשלומים'!$B$3:$B$162,$A22,'תשלומים'!$A$3:$A$162,"??/11/*")</f>
      </c>
      <c r="M22" s="6">
        <f>SUMIFS('תשלומים'!$F$3:$F$162,'תשלומים'!$B$3:$B$162,$A22,'תשלומים'!$A$3:$A$162,"??/12/*")</f>
      </c>
      <c r="N22" s="12">
        <f>SUM(B22:M22)</f>
      </c>
    </row>
    <row r="23">
      <c r="A23" s="11" t="inlineStr">
        <is>
          <t xml:space="preserve">סה"כ חודשי</t>
        </is>
      </c>
      <c r="B23" s="12">
        <f>SUM(B3:B22)</f>
      </c>
      <c r="C23" s="12">
        <f>SUM(C3:C22)</f>
      </c>
      <c r="D23" s="12">
        <f>SUM(D3:D22)</f>
      </c>
      <c r="E23" s="12">
        <f>SUM(E3:E22)</f>
      </c>
      <c r="F23" s="12">
        <f>SUM(F3:F22)</f>
      </c>
      <c r="G23" s="12">
        <f>SUM(G3:G22)</f>
      </c>
      <c r="H23" s="12">
        <f>SUM(H3:H22)</f>
      </c>
      <c r="I23" s="12">
        <f>SUM(I3:I22)</f>
      </c>
      <c r="J23" s="12">
        <f>SUM(J3:J22)</f>
      </c>
      <c r="K23" s="12">
        <f>SUM(K3:K22)</f>
      </c>
      <c r="L23" s="12">
        <f>SUM(L3:L22)</f>
      </c>
      <c r="M23" s="12">
        <f>SUM(M3:M22)</f>
      </c>
      <c r="N23" s="12">
        <f>SUM(B23:M23)</f>
      </c>
    </row>
    <row r="24"/>
    <row r="25">
      <c r="A25" s="15" t="inlineStr">
        <is>
          <t xml:space="preserve">העמודות מתמלאות לבד מגיליון "תשלומים" — לפי שם התלמידה והחודש בעמודת התאריך.</t>
        </is>
      </c>
    </row>
  </sheetData>
  <mergeCells count="1">
    <mergeCell ref="A1:N1"/>
  </mergeCells>
</worksheet>
</file>